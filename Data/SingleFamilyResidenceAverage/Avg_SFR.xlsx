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N:\ITOM2308GuestLectureDCAD\Data\"/>
    </mc:Choice>
  </mc:AlternateContent>
  <xr:revisionPtr revIDLastSave="0" documentId="13_ncr:1_{030139AE-AECC-4AC6-B133-0E40A85C82AA}" xr6:coauthVersionLast="47" xr6:coauthVersionMax="47" xr10:uidLastSave="{00000000-0000-0000-0000-000000000000}"/>
  <bookViews>
    <workbookView xWindow="-120" yWindow="-120" windowWidth="51840" windowHeight="21240" xr2:uid="{00000000-000D-0000-FFFF-FFFF00000000}"/>
  </bookViews>
  <sheets>
    <sheet name="AVG_SFR" sheetId="3" r:id="rId1"/>
    <sheet name="csv_import" sheetId="5" r:id="rId2"/>
    <sheet name="YEARLY_DATES" sheetId="4" r:id="rId3"/>
  </sheets>
  <definedNames>
    <definedName name="ExternalData_1" localSheetId="1" hidden="1">csv_import!#REF!</definedName>
    <definedName name="_xlnm.Print_Area" localSheetId="0">AVG_SFR!$A$1:$H$73</definedName>
    <definedName name="_xlnm.Print_Titles" localSheetId="0">AVG_SFR!$1:$6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" i="3" l="1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39" i="3"/>
  <c r="H38" i="3"/>
  <c r="H37" i="3"/>
  <c r="H36" i="3"/>
  <c r="H35" i="3"/>
  <c r="H34" i="3"/>
  <c r="H33" i="3"/>
  <c r="H32" i="3"/>
  <c r="H31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1" i="3"/>
  <c r="H10" i="3"/>
  <c r="H9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32" i="3"/>
  <c r="G33" i="3"/>
  <c r="G34" i="3"/>
  <c r="G35" i="3"/>
  <c r="G36" i="3"/>
  <c r="G37" i="3"/>
  <c r="G38" i="3"/>
  <c r="G39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10" i="3"/>
  <c r="G11" i="3"/>
  <c r="G44" i="3"/>
  <c r="G31" i="3"/>
  <c r="G14" i="3"/>
  <c r="G9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39" i="3"/>
  <c r="F38" i="3"/>
  <c r="F37" i="3"/>
  <c r="F36" i="3"/>
  <c r="F35" i="3"/>
  <c r="F34" i="3"/>
  <c r="F33" i="3"/>
  <c r="F32" i="3"/>
  <c r="F31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1" i="3"/>
  <c r="F10" i="3"/>
  <c r="F9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39" i="3"/>
  <c r="E38" i="3"/>
  <c r="E37" i="3"/>
  <c r="E36" i="3"/>
  <c r="E35" i="3"/>
  <c r="E34" i="3"/>
  <c r="E33" i="3"/>
  <c r="E32" i="3"/>
  <c r="E31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1" i="3"/>
  <c r="E10" i="3"/>
  <c r="E9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32" i="3"/>
  <c r="D33" i="3"/>
  <c r="D34" i="3"/>
  <c r="D35" i="3"/>
  <c r="D36" i="3"/>
  <c r="D37" i="3"/>
  <c r="D38" i="3"/>
  <c r="D39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10" i="3"/>
  <c r="D11" i="3"/>
  <c r="D44" i="3"/>
  <c r="D31" i="3"/>
  <c r="D14" i="3"/>
  <c r="D9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1" i="3"/>
  <c r="B11" i="3"/>
  <c r="C10" i="3"/>
  <c r="B10" i="3"/>
  <c r="C9" i="3"/>
  <c r="B9" i="3"/>
  <c r="A41" i="3" l="1"/>
  <c r="A73" i="3"/>
  <c r="A3" i="3" l="1"/>
</calcChain>
</file>

<file path=xl/sharedStrings.xml><?xml version="1.0" encoding="utf-8"?>
<sst xmlns="http://schemas.openxmlformats.org/spreadsheetml/2006/main" count="79" uniqueCount="70">
  <si>
    <t>DALLAS CENTRAL APPRAISAL DISTRICT</t>
  </si>
  <si>
    <t>Average Values for Detached Single Family Residences (SFR)  (Category A11)</t>
  </si>
  <si>
    <t>Countywide Entities</t>
  </si>
  <si>
    <t>School Districts</t>
  </si>
  <si>
    <t>Special Districts</t>
  </si>
  <si>
    <t>Cities</t>
  </si>
  <si>
    <t>Market Value</t>
  </si>
  <si>
    <t>Taxable Value</t>
  </si>
  <si>
    <t>Total</t>
  </si>
  <si>
    <t>Average</t>
  </si>
  <si>
    <t>% Change  *</t>
  </si>
  <si>
    <t>Taxing Entity Name</t>
  </si>
  <si>
    <t>Parcel Count</t>
  </si>
  <si>
    <t>from Prev Year</t>
  </si>
  <si>
    <t>Dallas County</t>
  </si>
  <si>
    <t>Parkland Hospital</t>
  </si>
  <si>
    <t>Carrollton-Farmers Branch ISD</t>
  </si>
  <si>
    <t>Cedar Hill ISD</t>
  </si>
  <si>
    <t>Coppell ISD</t>
  </si>
  <si>
    <t>Dallas ISD</t>
  </si>
  <si>
    <t>DeSoto ISD</t>
  </si>
  <si>
    <t>Duncanville ISD</t>
  </si>
  <si>
    <t>Ferris ISD</t>
  </si>
  <si>
    <t>Garland ISD</t>
  </si>
  <si>
    <t>Grand Prairie ISD</t>
  </si>
  <si>
    <t>Highland Park ISD</t>
  </si>
  <si>
    <t>Irving ISD</t>
  </si>
  <si>
    <t>Lancaster ISD</t>
  </si>
  <si>
    <t>Richardson ISD</t>
  </si>
  <si>
    <t>Sunnyvale ISD</t>
  </si>
  <si>
    <t>Dallas County URD</t>
  </si>
  <si>
    <t>Irving FCD, Section III</t>
  </si>
  <si>
    <t>Northwest Dallas County FCD</t>
  </si>
  <si>
    <t>Valwood Improvement Authority</t>
  </si>
  <si>
    <t>Addison</t>
  </si>
  <si>
    <t>Balch Springs</t>
  </si>
  <si>
    <t>Carrollton</t>
  </si>
  <si>
    <t>Cedar Hill</t>
  </si>
  <si>
    <t>Cockrell Hill</t>
  </si>
  <si>
    <t>Combine</t>
  </si>
  <si>
    <t>Coppell</t>
  </si>
  <si>
    <t>Dallas</t>
  </si>
  <si>
    <t>DeSoto</t>
  </si>
  <si>
    <t>Duncanville</t>
  </si>
  <si>
    <t>Farmers Branch</t>
  </si>
  <si>
    <t>Garland</t>
  </si>
  <si>
    <t>Glenn Heights</t>
  </si>
  <si>
    <t>Grand Prairie</t>
  </si>
  <si>
    <t>Highland Park</t>
  </si>
  <si>
    <t>Hutchins</t>
  </si>
  <si>
    <t>Irving</t>
  </si>
  <si>
    <t>Lancaster</t>
  </si>
  <si>
    <t>Mesquite</t>
  </si>
  <si>
    <t>Ovilla</t>
  </si>
  <si>
    <t>Richardson</t>
  </si>
  <si>
    <t>Rowlett</t>
  </si>
  <si>
    <t>Sachse</t>
  </si>
  <si>
    <t>Seagoville</t>
  </si>
  <si>
    <t>Sunnyvale</t>
  </si>
  <si>
    <t>University Park</t>
  </si>
  <si>
    <t>Wilmer</t>
  </si>
  <si>
    <t>Wylie</t>
  </si>
  <si>
    <t>Cert Date</t>
  </si>
  <si>
    <t>Dallas College</t>
  </si>
  <si>
    <t>Mesquite ISD</t>
  </si>
  <si>
    <t>Dallas County FCD1</t>
  </si>
  <si>
    <t>Denton Co Levee Impr Dist1</t>
  </si>
  <si>
    <t>Denton Co LID1 and RUD1</t>
  </si>
  <si>
    <t>Lancaster MUD1</t>
  </si>
  <si>
    <t>Dallas County MUD4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</si>
</sst>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2" fillId="0" borderId="0" xfId="0" applyFont="1"/>
    <xf numFmtId="38" fontId="0" fillId="0" borderId="0" xfId="0" applyNumberFormat="1"/>
    <xf numFmtId="38" fontId="0" fillId="0" borderId="0" xfId="0" applyNumberFormat="1" applyAlignment="1">
      <alignment horizontal="center"/>
    </xf>
    <xf numFmtId="38" fontId="0" fillId="0" borderId="1" xfId="0" applyNumberFormat="1" applyBorder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0" xfId="0" applyAlignment="1">
      <alignment horizontal="center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view="pageBreakPreview" zoomScaleNormal="100" zoomScaleSheetLayoutView="100" workbookViewId="0">
      <selection activeCell="H9" sqref="H9"/>
    </sheetView>
  </sheetViews>
  <sheetFormatPr defaultRowHeight="15" x14ac:dyDescent="0.25"/>
  <cols>
    <col min="1" max="1" width="43.42578125" bestFit="1" customWidth="1"/>
    <col min="2" max="2" width="14.7109375" bestFit="1" customWidth="1"/>
    <col min="3" max="3" width="17.7109375" customWidth="1"/>
    <col min="4" max="4" width="14.7109375" bestFit="1" customWidth="1"/>
    <col min="5" max="5" width="16.85546875" bestFit="1" customWidth="1"/>
    <col min="6" max="6" width="17.7109375" bestFit="1" customWidth="1"/>
    <col min="7" max="7" width="15.140625" bestFit="1" customWidth="1"/>
    <col min="8" max="8" width="16.85546875" bestFit="1" customWidth="1"/>
  </cols>
  <sheetData>
    <row r="1" spans="1:8" x14ac:dyDescent="0.25">
      <c r="A1" s="8" t="s">
        <v>0</v>
      </c>
      <c r="B1" s="8"/>
      <c r="C1" s="8"/>
      <c r="D1" s="8"/>
      <c r="E1" s="8"/>
      <c r="F1" s="8"/>
      <c r="G1" s="8"/>
      <c r="H1" s="8"/>
    </row>
    <row r="2" spans="1:8" x14ac:dyDescent="0.25">
      <c r="A2" s="8" t="s">
        <v>1</v>
      </c>
      <c r="B2" s="8"/>
      <c r="C2" s="8"/>
      <c r="D2" s="8"/>
      <c r="E2" s="8"/>
      <c r="F2" s="8"/>
      <c r="G2" s="8"/>
      <c r="H2" s="8"/>
    </row>
    <row r="3" spans="1:8" x14ac:dyDescent="0.25">
      <c r="A3" s="8" t="str">
        <f>CONCATENATE("Appraisal Year ",TEXT(YEARLY_DATES!B1,"yyyy"))</f>
        <v>Appraisal Year 2024</v>
      </c>
      <c r="B3" s="8"/>
      <c r="C3" s="8"/>
      <c r="D3" s="8"/>
      <c r="E3" s="8"/>
      <c r="F3" s="8"/>
      <c r="G3" s="8"/>
      <c r="H3" s="8"/>
    </row>
    <row r="4" spans="1:8" x14ac:dyDescent="0.25">
      <c r="B4" s="3"/>
      <c r="C4" s="3"/>
      <c r="D4" s="3"/>
      <c r="E4" s="4" t="s">
        <v>6</v>
      </c>
      <c r="F4" s="3"/>
      <c r="G4" s="3"/>
      <c r="H4" s="4" t="s">
        <v>7</v>
      </c>
    </row>
    <row r="5" spans="1:8" x14ac:dyDescent="0.25">
      <c r="B5" s="4" t="s">
        <v>8</v>
      </c>
      <c r="C5" s="4" t="s">
        <v>8</v>
      </c>
      <c r="D5" s="4" t="s">
        <v>9</v>
      </c>
      <c r="E5" s="4" t="s">
        <v>10</v>
      </c>
      <c r="F5" s="4" t="s">
        <v>8</v>
      </c>
      <c r="G5" s="4" t="s">
        <v>9</v>
      </c>
      <c r="H5" s="4" t="s">
        <v>10</v>
      </c>
    </row>
    <row r="6" spans="1:8" ht="15.75" thickBot="1" x14ac:dyDescent="0.3">
      <c r="A6" s="1" t="s">
        <v>11</v>
      </c>
      <c r="B6" s="5" t="s">
        <v>12</v>
      </c>
      <c r="C6" s="5" t="s">
        <v>6</v>
      </c>
      <c r="D6" s="5" t="s">
        <v>6</v>
      </c>
      <c r="E6" s="5" t="s">
        <v>13</v>
      </c>
      <c r="F6" s="5" t="s">
        <v>7</v>
      </c>
      <c r="G6" s="5" t="s">
        <v>7</v>
      </c>
      <c r="H6" s="5" t="s">
        <v>13</v>
      </c>
    </row>
    <row r="7" spans="1:8" x14ac:dyDescent="0.25">
      <c r="B7" s="3"/>
      <c r="C7" s="3"/>
      <c r="D7" s="3"/>
      <c r="E7" s="3"/>
      <c r="F7" s="3"/>
      <c r="G7" s="3"/>
      <c r="H7" s="3"/>
    </row>
    <row r="8" spans="1:8" ht="15.75" x14ac:dyDescent="0.25">
      <c r="A8" s="2" t="s">
        <v>2</v>
      </c>
      <c r="B8" s="3"/>
      <c r="C8" s="3"/>
      <c r="D8" s="3"/>
      <c r="E8" s="3"/>
      <c r="F8" s="3"/>
      <c r="G8" s="3"/>
      <c r="H8" s="3"/>
    </row>
    <row r="9" spans="1:8" x14ac:dyDescent="0.25">
      <c r="A9" t="s">
        <v>14</v>
      </c>
      <c r="B9" s="3" t="e">
        <f>VLOOKUP(UPPER($A9),#REF!,2,FALSE)</f>
        <v>#REF!</v>
      </c>
      <c r="C9" s="3" t="e">
        <f>VLOOKUP(UPPER($A9),#REF!,3,FALSE)</f>
        <v>#REF!</v>
      </c>
      <c r="D9" s="3" t="e">
        <f>VLOOKUP(UPPER($A9),#REF!,6,FALSE)</f>
        <v>#REF!</v>
      </c>
      <c r="E9" s="6" t="e">
        <f>VLOOKUP(UPPER($A9),#REF!,5,FALSE)</f>
        <v>#REF!</v>
      </c>
      <c r="F9" s="3" t="e">
        <f>VLOOKUP(UPPER($A9),#REF!,8,FALSE)</f>
        <v>#REF!</v>
      </c>
      <c r="G9" s="3" t="e">
        <f>VLOOKUP(UPPER($A9),#REF!,11,FALSE)</f>
        <v>#REF!</v>
      </c>
      <c r="H9" s="9" t="e">
        <f>VLOOKUP(UPPER($A9),#REF!,10,FALSE)</f>
        <v>#REF!</v>
      </c>
    </row>
    <row r="10" spans="1:8" x14ac:dyDescent="0.25">
      <c r="A10" t="s">
        <v>63</v>
      </c>
      <c r="B10" s="3" t="e">
        <f>VLOOKUP(UPPER($A10),#REF!,2,FALSE)</f>
        <v>#REF!</v>
      </c>
      <c r="C10" s="3" t="e">
        <f>VLOOKUP(UPPER($A10),#REF!,3,FALSE)</f>
        <v>#REF!</v>
      </c>
      <c r="D10" s="3" t="e">
        <f>VLOOKUP(UPPER($A10),#REF!,6,FALSE)</f>
        <v>#REF!</v>
      </c>
      <c r="E10" s="6" t="e">
        <f>VLOOKUP(UPPER($A10),#REF!,5,FALSE)</f>
        <v>#REF!</v>
      </c>
      <c r="F10" s="3" t="e">
        <f>VLOOKUP(UPPER($A10),#REF!,8,FALSE)</f>
        <v>#REF!</v>
      </c>
      <c r="G10" s="3" t="e">
        <f>VLOOKUP(UPPER($A10),#REF!,11,FALSE)</f>
        <v>#REF!</v>
      </c>
      <c r="H10" s="9" t="e">
        <f>VLOOKUP(UPPER($A10),#REF!,10,FALSE)</f>
        <v>#REF!</v>
      </c>
    </row>
    <row r="11" spans="1:8" x14ac:dyDescent="0.25">
      <c r="A11" t="s">
        <v>15</v>
      </c>
      <c r="B11" s="3" t="e">
        <f>VLOOKUP(UPPER($A11),#REF!,2,FALSE)</f>
        <v>#REF!</v>
      </c>
      <c r="C11" s="3" t="e">
        <f>VLOOKUP(UPPER($A11),#REF!,3,FALSE)</f>
        <v>#REF!</v>
      </c>
      <c r="D11" s="3" t="e">
        <f>VLOOKUP(UPPER($A11),#REF!,6,FALSE)</f>
        <v>#REF!</v>
      </c>
      <c r="E11" s="6" t="e">
        <f>VLOOKUP(UPPER($A11),#REF!,5,FALSE)</f>
        <v>#REF!</v>
      </c>
      <c r="F11" s="3" t="e">
        <f>VLOOKUP(UPPER($A11),#REF!,8,FALSE)</f>
        <v>#REF!</v>
      </c>
      <c r="G11" s="3" t="e">
        <f>VLOOKUP(UPPER($A11),#REF!,11,FALSE)</f>
        <v>#REF!</v>
      </c>
      <c r="H11" s="9" t="e">
        <f>VLOOKUP(UPPER($A11),#REF!,10,FALSE)</f>
        <v>#REF!</v>
      </c>
    </row>
    <row r="12" spans="1:8" x14ac:dyDescent="0.25">
      <c r="B12" s="3"/>
      <c r="C12" s="3"/>
      <c r="D12" s="3"/>
      <c r="E12" s="6"/>
      <c r="F12" s="3"/>
      <c r="G12" s="3"/>
      <c r="H12" s="9"/>
    </row>
    <row r="13" spans="1:8" ht="15.75" x14ac:dyDescent="0.25">
      <c r="A13" s="2" t="s">
        <v>3</v>
      </c>
      <c r="B13" s="3"/>
      <c r="C13" s="3"/>
      <c r="D13" s="3"/>
      <c r="E13" s="6"/>
      <c r="F13" s="3"/>
      <c r="G13" s="3"/>
      <c r="H13" s="9"/>
    </row>
    <row r="14" spans="1:8" x14ac:dyDescent="0.25">
      <c r="A14" t="s">
        <v>16</v>
      </c>
      <c r="B14" s="3" t="e">
        <f>VLOOKUP(UPPER($A14),#REF!,2,FALSE)</f>
        <v>#REF!</v>
      </c>
      <c r="C14" s="3" t="e">
        <f>VLOOKUP(UPPER($A14),#REF!,3,FALSE)</f>
        <v>#REF!</v>
      </c>
      <c r="D14" s="3" t="e">
        <f>VLOOKUP(UPPER($A14),#REF!,6,FALSE)</f>
        <v>#REF!</v>
      </c>
      <c r="E14" s="6" t="e">
        <f>VLOOKUP(UPPER($A14),#REF!,5,FALSE)</f>
        <v>#REF!</v>
      </c>
      <c r="F14" s="3" t="e">
        <f>VLOOKUP(UPPER($A14),#REF!,8,FALSE)</f>
        <v>#REF!</v>
      </c>
      <c r="G14" s="3" t="e">
        <f>VLOOKUP(UPPER($A14),#REF!,11,FALSE)</f>
        <v>#REF!</v>
      </c>
      <c r="H14" s="9" t="e">
        <f>VLOOKUP(UPPER($A14),#REF!,10,FALSE)</f>
        <v>#REF!</v>
      </c>
    </row>
    <row r="15" spans="1:8" x14ac:dyDescent="0.25">
      <c r="A15" t="s">
        <v>17</v>
      </c>
      <c r="B15" s="3" t="e">
        <f>VLOOKUP(UPPER($A15),#REF!,2,FALSE)</f>
        <v>#REF!</v>
      </c>
      <c r="C15" s="3" t="e">
        <f>VLOOKUP(UPPER($A15),#REF!,3,FALSE)</f>
        <v>#REF!</v>
      </c>
      <c r="D15" s="3" t="e">
        <f>VLOOKUP(UPPER($A15),#REF!,6,FALSE)</f>
        <v>#REF!</v>
      </c>
      <c r="E15" s="6" t="e">
        <f>VLOOKUP(UPPER($A15),#REF!,5,FALSE)</f>
        <v>#REF!</v>
      </c>
      <c r="F15" s="3" t="e">
        <f>VLOOKUP(UPPER($A15),#REF!,8,FALSE)</f>
        <v>#REF!</v>
      </c>
      <c r="G15" s="3" t="e">
        <f>VLOOKUP(UPPER($A15),#REF!,11,FALSE)</f>
        <v>#REF!</v>
      </c>
      <c r="H15" s="9" t="e">
        <f>VLOOKUP(UPPER($A15),#REF!,10,FALSE)</f>
        <v>#REF!</v>
      </c>
    </row>
    <row r="16" spans="1:8" x14ac:dyDescent="0.25">
      <c r="A16" t="s">
        <v>18</v>
      </c>
      <c r="B16" s="3" t="e">
        <f>VLOOKUP(UPPER($A16),#REF!,2,FALSE)</f>
        <v>#REF!</v>
      </c>
      <c r="C16" s="3" t="e">
        <f>VLOOKUP(UPPER($A16),#REF!,3,FALSE)</f>
        <v>#REF!</v>
      </c>
      <c r="D16" s="3" t="e">
        <f>VLOOKUP(UPPER($A16),#REF!,6,FALSE)</f>
        <v>#REF!</v>
      </c>
      <c r="E16" s="6" t="e">
        <f>VLOOKUP(UPPER($A16),#REF!,5,FALSE)</f>
        <v>#REF!</v>
      </c>
      <c r="F16" s="3" t="e">
        <f>VLOOKUP(UPPER($A16),#REF!,8,FALSE)</f>
        <v>#REF!</v>
      </c>
      <c r="G16" s="3" t="e">
        <f>VLOOKUP(UPPER($A16),#REF!,11,FALSE)</f>
        <v>#REF!</v>
      </c>
      <c r="H16" s="9" t="e">
        <f>VLOOKUP(UPPER($A16),#REF!,10,FALSE)</f>
        <v>#REF!</v>
      </c>
    </row>
    <row r="17" spans="1:8" x14ac:dyDescent="0.25">
      <c r="A17" t="s">
        <v>19</v>
      </c>
      <c r="B17" s="3" t="e">
        <f>VLOOKUP(UPPER($A17),#REF!,2,FALSE)</f>
        <v>#REF!</v>
      </c>
      <c r="C17" s="3" t="e">
        <f>VLOOKUP(UPPER($A17),#REF!,3,FALSE)</f>
        <v>#REF!</v>
      </c>
      <c r="D17" s="3" t="e">
        <f>VLOOKUP(UPPER($A17),#REF!,6,FALSE)</f>
        <v>#REF!</v>
      </c>
      <c r="E17" s="6" t="e">
        <f>VLOOKUP(UPPER($A17),#REF!,5,FALSE)</f>
        <v>#REF!</v>
      </c>
      <c r="F17" s="3" t="e">
        <f>VLOOKUP(UPPER($A17),#REF!,8,FALSE)</f>
        <v>#REF!</v>
      </c>
      <c r="G17" s="3" t="e">
        <f>VLOOKUP(UPPER($A17),#REF!,11,FALSE)</f>
        <v>#REF!</v>
      </c>
      <c r="H17" s="9" t="e">
        <f>VLOOKUP(UPPER($A17),#REF!,10,FALSE)</f>
        <v>#REF!</v>
      </c>
    </row>
    <row r="18" spans="1:8" x14ac:dyDescent="0.25">
      <c r="A18" t="s">
        <v>20</v>
      </c>
      <c r="B18" s="3" t="e">
        <f>VLOOKUP(UPPER($A18),#REF!,2,FALSE)</f>
        <v>#REF!</v>
      </c>
      <c r="C18" s="3" t="e">
        <f>VLOOKUP(UPPER($A18),#REF!,3,FALSE)</f>
        <v>#REF!</v>
      </c>
      <c r="D18" s="3" t="e">
        <f>VLOOKUP(UPPER($A18),#REF!,6,FALSE)</f>
        <v>#REF!</v>
      </c>
      <c r="E18" s="6" t="e">
        <f>VLOOKUP(UPPER($A18),#REF!,5,FALSE)</f>
        <v>#REF!</v>
      </c>
      <c r="F18" s="3" t="e">
        <f>VLOOKUP(UPPER($A18),#REF!,8,FALSE)</f>
        <v>#REF!</v>
      </c>
      <c r="G18" s="3" t="e">
        <f>VLOOKUP(UPPER($A18),#REF!,11,FALSE)</f>
        <v>#REF!</v>
      </c>
      <c r="H18" s="9" t="e">
        <f>VLOOKUP(UPPER($A18),#REF!,10,FALSE)</f>
        <v>#REF!</v>
      </c>
    </row>
    <row r="19" spans="1:8" x14ac:dyDescent="0.25">
      <c r="A19" t="s">
        <v>21</v>
      </c>
      <c r="B19" s="3" t="e">
        <f>VLOOKUP(UPPER($A19),#REF!,2,FALSE)</f>
        <v>#REF!</v>
      </c>
      <c r="C19" s="3" t="e">
        <f>VLOOKUP(UPPER($A19),#REF!,3,FALSE)</f>
        <v>#REF!</v>
      </c>
      <c r="D19" s="3" t="e">
        <f>VLOOKUP(UPPER($A19),#REF!,6,FALSE)</f>
        <v>#REF!</v>
      </c>
      <c r="E19" s="6" t="e">
        <f>VLOOKUP(UPPER($A19),#REF!,5,FALSE)</f>
        <v>#REF!</v>
      </c>
      <c r="F19" s="3" t="e">
        <f>VLOOKUP(UPPER($A19),#REF!,8,FALSE)</f>
        <v>#REF!</v>
      </c>
      <c r="G19" s="3" t="e">
        <f>VLOOKUP(UPPER($A19),#REF!,11,FALSE)</f>
        <v>#REF!</v>
      </c>
      <c r="H19" s="9" t="e">
        <f>VLOOKUP(UPPER($A19),#REF!,10,FALSE)</f>
        <v>#REF!</v>
      </c>
    </row>
    <row r="20" spans="1:8" x14ac:dyDescent="0.25">
      <c r="A20" t="s">
        <v>22</v>
      </c>
      <c r="B20" s="3" t="e">
        <f>VLOOKUP(UPPER($A20),#REF!,2,FALSE)</f>
        <v>#REF!</v>
      </c>
      <c r="C20" s="3" t="e">
        <f>VLOOKUP(UPPER($A20),#REF!,3,FALSE)</f>
        <v>#REF!</v>
      </c>
      <c r="D20" s="3" t="e">
        <f>VLOOKUP(UPPER($A20),#REF!,6,FALSE)</f>
        <v>#REF!</v>
      </c>
      <c r="E20" s="6" t="e">
        <f>VLOOKUP(UPPER($A20),#REF!,5,FALSE)</f>
        <v>#REF!</v>
      </c>
      <c r="F20" s="3" t="e">
        <f>VLOOKUP(UPPER($A20),#REF!,8,FALSE)</f>
        <v>#REF!</v>
      </c>
      <c r="G20" s="3" t="e">
        <f>VLOOKUP(UPPER($A20),#REF!,11,FALSE)</f>
        <v>#REF!</v>
      </c>
      <c r="H20" s="9" t="e">
        <f>VLOOKUP(UPPER($A20),#REF!,10,FALSE)</f>
        <v>#REF!</v>
      </c>
    </row>
    <row r="21" spans="1:8" x14ac:dyDescent="0.25">
      <c r="A21" t="s">
        <v>23</v>
      </c>
      <c r="B21" s="3" t="e">
        <f>VLOOKUP(UPPER($A21),#REF!,2,FALSE)</f>
        <v>#REF!</v>
      </c>
      <c r="C21" s="3" t="e">
        <f>VLOOKUP(UPPER($A21),#REF!,3,FALSE)</f>
        <v>#REF!</v>
      </c>
      <c r="D21" s="3" t="e">
        <f>VLOOKUP(UPPER($A21),#REF!,6,FALSE)</f>
        <v>#REF!</v>
      </c>
      <c r="E21" s="6" t="e">
        <f>VLOOKUP(UPPER($A21),#REF!,5,FALSE)</f>
        <v>#REF!</v>
      </c>
      <c r="F21" s="3" t="e">
        <f>VLOOKUP(UPPER($A21),#REF!,8,FALSE)</f>
        <v>#REF!</v>
      </c>
      <c r="G21" s="3" t="e">
        <f>VLOOKUP(UPPER($A21),#REF!,11,FALSE)</f>
        <v>#REF!</v>
      </c>
      <c r="H21" s="9" t="e">
        <f>VLOOKUP(UPPER($A21),#REF!,10,FALSE)</f>
        <v>#REF!</v>
      </c>
    </row>
    <row r="22" spans="1:8" x14ac:dyDescent="0.25">
      <c r="A22" t="s">
        <v>24</v>
      </c>
      <c r="B22" s="3" t="e">
        <f>VLOOKUP(UPPER($A22),#REF!,2,FALSE)</f>
        <v>#REF!</v>
      </c>
      <c r="C22" s="3" t="e">
        <f>VLOOKUP(UPPER($A22),#REF!,3,FALSE)</f>
        <v>#REF!</v>
      </c>
      <c r="D22" s="3" t="e">
        <f>VLOOKUP(UPPER($A22),#REF!,6,FALSE)</f>
        <v>#REF!</v>
      </c>
      <c r="E22" s="6" t="e">
        <f>VLOOKUP(UPPER($A22),#REF!,5,FALSE)</f>
        <v>#REF!</v>
      </c>
      <c r="F22" s="3" t="e">
        <f>VLOOKUP(UPPER($A22),#REF!,8,FALSE)</f>
        <v>#REF!</v>
      </c>
      <c r="G22" s="3" t="e">
        <f>VLOOKUP(UPPER($A22),#REF!,11,FALSE)</f>
        <v>#REF!</v>
      </c>
      <c r="H22" s="9" t="e">
        <f>VLOOKUP(UPPER($A22),#REF!,10,FALSE)</f>
        <v>#REF!</v>
      </c>
    </row>
    <row r="23" spans="1:8" x14ac:dyDescent="0.25">
      <c r="A23" t="s">
        <v>25</v>
      </c>
      <c r="B23" s="3" t="e">
        <f>VLOOKUP(UPPER($A23),#REF!,2,FALSE)</f>
        <v>#REF!</v>
      </c>
      <c r="C23" s="3" t="e">
        <f>VLOOKUP(UPPER($A23),#REF!,3,FALSE)</f>
        <v>#REF!</v>
      </c>
      <c r="D23" s="3" t="e">
        <f>VLOOKUP(UPPER($A23),#REF!,6,FALSE)</f>
        <v>#REF!</v>
      </c>
      <c r="E23" s="6" t="e">
        <f>VLOOKUP(UPPER($A23),#REF!,5,FALSE)</f>
        <v>#REF!</v>
      </c>
      <c r="F23" s="3" t="e">
        <f>VLOOKUP(UPPER($A23),#REF!,8,FALSE)</f>
        <v>#REF!</v>
      </c>
      <c r="G23" s="3" t="e">
        <f>VLOOKUP(UPPER($A23),#REF!,11,FALSE)</f>
        <v>#REF!</v>
      </c>
      <c r="H23" s="9" t="e">
        <f>VLOOKUP(UPPER($A23),#REF!,10,FALSE)</f>
        <v>#REF!</v>
      </c>
    </row>
    <row r="24" spans="1:8" x14ac:dyDescent="0.25">
      <c r="A24" t="s">
        <v>26</v>
      </c>
      <c r="B24" s="3" t="e">
        <f>VLOOKUP(UPPER($A24),#REF!,2,FALSE)</f>
        <v>#REF!</v>
      </c>
      <c r="C24" s="3" t="e">
        <f>VLOOKUP(UPPER($A24),#REF!,3,FALSE)</f>
        <v>#REF!</v>
      </c>
      <c r="D24" s="3" t="e">
        <f>VLOOKUP(UPPER($A24),#REF!,6,FALSE)</f>
        <v>#REF!</v>
      </c>
      <c r="E24" s="6" t="e">
        <f>VLOOKUP(UPPER($A24),#REF!,5,FALSE)</f>
        <v>#REF!</v>
      </c>
      <c r="F24" s="3" t="e">
        <f>VLOOKUP(UPPER($A24),#REF!,8,FALSE)</f>
        <v>#REF!</v>
      </c>
      <c r="G24" s="3" t="e">
        <f>VLOOKUP(UPPER($A24),#REF!,11,FALSE)</f>
        <v>#REF!</v>
      </c>
      <c r="H24" s="9" t="e">
        <f>VLOOKUP(UPPER($A24),#REF!,10,FALSE)</f>
        <v>#REF!</v>
      </c>
    </row>
    <row r="25" spans="1:8" x14ac:dyDescent="0.25">
      <c r="A25" t="s">
        <v>27</v>
      </c>
      <c r="B25" s="3" t="e">
        <f>VLOOKUP(UPPER($A25),#REF!,2,FALSE)</f>
        <v>#REF!</v>
      </c>
      <c r="C25" s="3" t="e">
        <f>VLOOKUP(UPPER($A25),#REF!,3,FALSE)</f>
        <v>#REF!</v>
      </c>
      <c r="D25" s="3" t="e">
        <f>VLOOKUP(UPPER($A25),#REF!,6,FALSE)</f>
        <v>#REF!</v>
      </c>
      <c r="E25" s="6" t="e">
        <f>VLOOKUP(UPPER($A25),#REF!,5,FALSE)</f>
        <v>#REF!</v>
      </c>
      <c r="F25" s="3" t="e">
        <f>VLOOKUP(UPPER($A25),#REF!,8,FALSE)</f>
        <v>#REF!</v>
      </c>
      <c r="G25" s="3" t="e">
        <f>VLOOKUP(UPPER($A25),#REF!,11,FALSE)</f>
        <v>#REF!</v>
      </c>
      <c r="H25" s="9" t="e">
        <f>VLOOKUP(UPPER($A25),#REF!,10,FALSE)</f>
        <v>#REF!</v>
      </c>
    </row>
    <row r="26" spans="1:8" x14ac:dyDescent="0.25">
      <c r="A26" t="s">
        <v>64</v>
      </c>
      <c r="B26" s="3" t="e">
        <f>VLOOKUP(UPPER($A26),#REF!,2,FALSE)</f>
        <v>#REF!</v>
      </c>
      <c r="C26" s="3" t="e">
        <f>VLOOKUP(UPPER($A26),#REF!,3,FALSE)</f>
        <v>#REF!</v>
      </c>
      <c r="D26" s="3" t="e">
        <f>VLOOKUP(UPPER($A26),#REF!,6,FALSE)</f>
        <v>#REF!</v>
      </c>
      <c r="E26" s="6" t="e">
        <f>VLOOKUP(UPPER($A26),#REF!,5,FALSE)</f>
        <v>#REF!</v>
      </c>
      <c r="F26" s="3" t="e">
        <f>VLOOKUP(UPPER($A26),#REF!,8,FALSE)</f>
        <v>#REF!</v>
      </c>
      <c r="G26" s="3" t="e">
        <f>VLOOKUP(UPPER($A26),#REF!,11,FALSE)</f>
        <v>#REF!</v>
      </c>
      <c r="H26" s="9" t="e">
        <f>VLOOKUP(UPPER($A26),#REF!,10,FALSE)</f>
        <v>#REF!</v>
      </c>
    </row>
    <row r="27" spans="1:8" x14ac:dyDescent="0.25">
      <c r="A27" t="s">
        <v>28</v>
      </c>
      <c r="B27" s="3" t="e">
        <f>VLOOKUP(UPPER($A27),#REF!,2,FALSE)</f>
        <v>#REF!</v>
      </c>
      <c r="C27" s="3" t="e">
        <f>VLOOKUP(UPPER($A27),#REF!,3,FALSE)</f>
        <v>#REF!</v>
      </c>
      <c r="D27" s="3" t="e">
        <f>VLOOKUP(UPPER($A27),#REF!,6,FALSE)</f>
        <v>#REF!</v>
      </c>
      <c r="E27" s="6" t="e">
        <f>VLOOKUP(UPPER($A27),#REF!,5,FALSE)</f>
        <v>#REF!</v>
      </c>
      <c r="F27" s="3" t="e">
        <f>VLOOKUP(UPPER($A27),#REF!,8,FALSE)</f>
        <v>#REF!</v>
      </c>
      <c r="G27" s="3" t="e">
        <f>VLOOKUP(UPPER($A27),#REF!,11,FALSE)</f>
        <v>#REF!</v>
      </c>
      <c r="H27" s="9" t="e">
        <f>VLOOKUP(UPPER($A27),#REF!,10,FALSE)</f>
        <v>#REF!</v>
      </c>
    </row>
    <row r="28" spans="1:8" x14ac:dyDescent="0.25">
      <c r="A28" t="s">
        <v>29</v>
      </c>
      <c r="B28" s="3" t="e">
        <f>VLOOKUP(UPPER($A28),#REF!,2,FALSE)</f>
        <v>#REF!</v>
      </c>
      <c r="C28" s="3" t="e">
        <f>VLOOKUP(UPPER($A28),#REF!,3,FALSE)</f>
        <v>#REF!</v>
      </c>
      <c r="D28" s="3" t="e">
        <f>VLOOKUP(UPPER($A28),#REF!,6,FALSE)</f>
        <v>#REF!</v>
      </c>
      <c r="E28" s="6" t="e">
        <f>VLOOKUP(UPPER($A28),#REF!,5,FALSE)</f>
        <v>#REF!</v>
      </c>
      <c r="F28" s="3" t="e">
        <f>VLOOKUP(UPPER($A28),#REF!,8,FALSE)</f>
        <v>#REF!</v>
      </c>
      <c r="G28" s="3" t="e">
        <f>VLOOKUP(UPPER($A28),#REF!,11,FALSE)</f>
        <v>#REF!</v>
      </c>
      <c r="H28" s="9" t="e">
        <f>VLOOKUP(UPPER($A28),#REF!,10,FALSE)</f>
        <v>#REF!</v>
      </c>
    </row>
    <row r="29" spans="1:8" x14ac:dyDescent="0.25">
      <c r="B29" s="3"/>
      <c r="C29" s="3"/>
      <c r="D29" s="3"/>
      <c r="E29" s="6"/>
      <c r="F29" s="3"/>
      <c r="G29" s="3"/>
      <c r="H29" s="9"/>
    </row>
    <row r="30" spans="1:8" ht="15.75" x14ac:dyDescent="0.25">
      <c r="A30" s="2" t="s">
        <v>4</v>
      </c>
      <c r="B30" s="3"/>
      <c r="C30" s="3"/>
      <c r="D30" s="3"/>
      <c r="E30" s="6"/>
      <c r="F30" s="3"/>
      <c r="G30" s="3"/>
      <c r="H30" s="9"/>
    </row>
    <row r="31" spans="1:8" x14ac:dyDescent="0.25">
      <c r="A31" t="s">
        <v>65</v>
      </c>
      <c r="B31" s="3" t="e">
        <f>VLOOKUP(UPPER($A31),#REF!,2,FALSE)</f>
        <v>#REF!</v>
      </c>
      <c r="C31" s="3" t="e">
        <f>VLOOKUP(UPPER($A31),#REF!,3,FALSE)</f>
        <v>#REF!</v>
      </c>
      <c r="D31" s="3" t="e">
        <f>VLOOKUP(UPPER($A31),#REF!,6,FALSE)</f>
        <v>#REF!</v>
      </c>
      <c r="E31" s="6" t="e">
        <f>VLOOKUP(UPPER($A31),#REF!,5,FALSE)</f>
        <v>#REF!</v>
      </c>
      <c r="F31" s="3" t="e">
        <f>VLOOKUP(UPPER($A31),#REF!,8,FALSE)</f>
        <v>#REF!</v>
      </c>
      <c r="G31" s="3" t="e">
        <f>VLOOKUP(UPPER($A31),#REF!,11,FALSE)</f>
        <v>#REF!</v>
      </c>
      <c r="H31" s="9" t="e">
        <f>VLOOKUP(UPPER($A31),#REF!,10,FALSE)</f>
        <v>#REF!</v>
      </c>
    </row>
    <row r="32" spans="1:8" x14ac:dyDescent="0.25">
      <c r="A32" t="s">
        <v>69</v>
      </c>
      <c r="B32" s="3" t="e">
        <f>VLOOKUP(UPPER($A32),#REF!,2,FALSE)</f>
        <v>#REF!</v>
      </c>
      <c r="C32" s="3" t="e">
        <f>VLOOKUP(UPPER($A32),#REF!,3,FALSE)</f>
        <v>#REF!</v>
      </c>
      <c r="D32" s="3" t="e">
        <f>VLOOKUP(UPPER($A32),#REF!,6,FALSE)</f>
        <v>#REF!</v>
      </c>
      <c r="E32" s="6" t="e">
        <f>VLOOKUP(UPPER($A32),#REF!,5,FALSE)</f>
        <v>#REF!</v>
      </c>
      <c r="F32" s="3" t="e">
        <f>VLOOKUP(UPPER($A32),#REF!,8,FALSE)</f>
        <v>#REF!</v>
      </c>
      <c r="G32" s="3" t="e">
        <f>VLOOKUP(UPPER($A32),#REF!,11,FALSE)</f>
        <v>#REF!</v>
      </c>
      <c r="H32" s="9" t="e">
        <f>VLOOKUP(UPPER($A32),#REF!,10,FALSE)</f>
        <v>#REF!</v>
      </c>
    </row>
    <row r="33" spans="1:8" x14ac:dyDescent="0.25">
      <c r="A33" t="s">
        <v>30</v>
      </c>
      <c r="B33" s="3" t="e">
        <f>VLOOKUP(UPPER($A33),#REF!,2,FALSE)</f>
        <v>#REF!</v>
      </c>
      <c r="C33" s="3" t="e">
        <f>VLOOKUP(UPPER($A33),#REF!,3,FALSE)</f>
        <v>#REF!</v>
      </c>
      <c r="D33" s="3" t="e">
        <f>VLOOKUP(UPPER($A33),#REF!,6,FALSE)</f>
        <v>#REF!</v>
      </c>
      <c r="E33" s="6" t="e">
        <f>VLOOKUP(UPPER($A33),#REF!,5,FALSE)</f>
        <v>#REF!</v>
      </c>
      <c r="F33" s="3" t="e">
        <f>VLOOKUP(UPPER($A33),#REF!,8,FALSE)</f>
        <v>#REF!</v>
      </c>
      <c r="G33" s="3" t="e">
        <f>VLOOKUP(UPPER($A33),#REF!,11,FALSE)</f>
        <v>#REF!</v>
      </c>
      <c r="H33" s="9" t="e">
        <f>VLOOKUP(UPPER($A33),#REF!,10,FALSE)</f>
        <v>#REF!</v>
      </c>
    </row>
    <row r="34" spans="1:8" x14ac:dyDescent="0.25">
      <c r="A34" t="s">
        <v>66</v>
      </c>
      <c r="B34" s="3" t="e">
        <f>VLOOKUP(UPPER($A34),#REF!,2,FALSE)</f>
        <v>#REF!</v>
      </c>
      <c r="C34" s="3" t="e">
        <f>VLOOKUP(UPPER($A34),#REF!,3,FALSE)</f>
        <v>#REF!</v>
      </c>
      <c r="D34" s="3" t="e">
        <f>VLOOKUP(UPPER($A34),#REF!,6,FALSE)</f>
        <v>#REF!</v>
      </c>
      <c r="E34" s="6" t="e">
        <f>VLOOKUP(UPPER($A34),#REF!,5,FALSE)</f>
        <v>#REF!</v>
      </c>
      <c r="F34" s="3" t="e">
        <f>VLOOKUP(UPPER($A34),#REF!,8,FALSE)</f>
        <v>#REF!</v>
      </c>
      <c r="G34" s="3" t="e">
        <f>VLOOKUP(UPPER($A34),#REF!,11,FALSE)</f>
        <v>#REF!</v>
      </c>
      <c r="H34" s="9" t="e">
        <f>VLOOKUP(UPPER($A34),#REF!,10,FALSE)</f>
        <v>#REF!</v>
      </c>
    </row>
    <row r="35" spans="1:8" x14ac:dyDescent="0.25">
      <c r="A35" t="s">
        <v>67</v>
      </c>
      <c r="B35" s="3" t="e">
        <f>VLOOKUP(UPPER($A35),#REF!,2,FALSE)</f>
        <v>#REF!</v>
      </c>
      <c r="C35" s="3" t="e">
        <f>VLOOKUP(UPPER($A35),#REF!,3,FALSE)</f>
        <v>#REF!</v>
      </c>
      <c r="D35" s="3" t="e">
        <f>VLOOKUP(UPPER($A35),#REF!,6,FALSE)</f>
        <v>#REF!</v>
      </c>
      <c r="E35" s="6" t="e">
        <f>VLOOKUP(UPPER($A35),#REF!,5,FALSE)</f>
        <v>#REF!</v>
      </c>
      <c r="F35" s="3" t="e">
        <f>VLOOKUP(UPPER($A35),#REF!,8,FALSE)</f>
        <v>#REF!</v>
      </c>
      <c r="G35" s="3" t="e">
        <f>VLOOKUP(UPPER($A35),#REF!,11,FALSE)</f>
        <v>#REF!</v>
      </c>
      <c r="H35" s="9" t="e">
        <f>VLOOKUP(UPPER($A35),#REF!,10,FALSE)</f>
        <v>#REF!</v>
      </c>
    </row>
    <row r="36" spans="1:8" x14ac:dyDescent="0.25">
      <c r="A36" t="s">
        <v>31</v>
      </c>
      <c r="B36" s="3" t="e">
        <f>VLOOKUP(UPPER($A36),#REF!,2,FALSE)</f>
        <v>#REF!</v>
      </c>
      <c r="C36" s="3" t="e">
        <f>VLOOKUP(UPPER($A36),#REF!,3,FALSE)</f>
        <v>#REF!</v>
      </c>
      <c r="D36" s="3" t="e">
        <f>VLOOKUP(UPPER($A36),#REF!,6,FALSE)</f>
        <v>#REF!</v>
      </c>
      <c r="E36" s="6" t="e">
        <f>VLOOKUP(UPPER($A36),#REF!,5,FALSE)</f>
        <v>#REF!</v>
      </c>
      <c r="F36" s="3" t="e">
        <f>VLOOKUP(UPPER($A36),#REF!,8,FALSE)</f>
        <v>#REF!</v>
      </c>
      <c r="G36" s="3" t="e">
        <f>VLOOKUP(UPPER($A36),#REF!,11,FALSE)</f>
        <v>#REF!</v>
      </c>
      <c r="H36" s="9" t="e">
        <f>VLOOKUP(UPPER($A36),#REF!,10,FALSE)</f>
        <v>#REF!</v>
      </c>
    </row>
    <row r="37" spans="1:8" x14ac:dyDescent="0.25">
      <c r="A37" t="s">
        <v>68</v>
      </c>
      <c r="B37" s="3" t="e">
        <f>VLOOKUP(UPPER($A37),#REF!,2,FALSE)</f>
        <v>#REF!</v>
      </c>
      <c r="C37" s="3" t="e">
        <f>VLOOKUP(UPPER($A37),#REF!,3,FALSE)</f>
        <v>#REF!</v>
      </c>
      <c r="D37" s="3" t="e">
        <f>VLOOKUP(UPPER($A37),#REF!,6,FALSE)</f>
        <v>#REF!</v>
      </c>
      <c r="E37" s="6" t="e">
        <f>VLOOKUP(UPPER($A37),#REF!,5,FALSE)</f>
        <v>#REF!</v>
      </c>
      <c r="F37" s="3" t="e">
        <f>VLOOKUP(UPPER($A37),#REF!,8,FALSE)</f>
        <v>#REF!</v>
      </c>
      <c r="G37" s="3" t="e">
        <f>VLOOKUP(UPPER($A37),#REF!,11,FALSE)</f>
        <v>#REF!</v>
      </c>
      <c r="H37" s="9" t="e">
        <f>VLOOKUP(UPPER($A37),#REF!,10,FALSE)</f>
        <v>#REF!</v>
      </c>
    </row>
    <row r="38" spans="1:8" x14ac:dyDescent="0.25">
      <c r="A38" t="s">
        <v>32</v>
      </c>
      <c r="B38" s="3" t="e">
        <f>VLOOKUP(UPPER($A38),#REF!,2,FALSE)</f>
        <v>#REF!</v>
      </c>
      <c r="C38" s="3" t="e">
        <f>VLOOKUP(UPPER($A38),#REF!,3,FALSE)</f>
        <v>#REF!</v>
      </c>
      <c r="D38" s="3" t="e">
        <f>VLOOKUP(UPPER($A38),#REF!,6,FALSE)</f>
        <v>#REF!</v>
      </c>
      <c r="E38" s="6" t="e">
        <f>VLOOKUP(UPPER($A38),#REF!,5,FALSE)</f>
        <v>#REF!</v>
      </c>
      <c r="F38" s="3" t="e">
        <f>VLOOKUP(UPPER($A38),#REF!,8,FALSE)</f>
        <v>#REF!</v>
      </c>
      <c r="G38" s="3" t="e">
        <f>VLOOKUP(UPPER($A38),#REF!,11,FALSE)</f>
        <v>#REF!</v>
      </c>
      <c r="H38" s="9" t="e">
        <f>VLOOKUP(UPPER($A38),#REF!,10,FALSE)</f>
        <v>#REF!</v>
      </c>
    </row>
    <row r="39" spans="1:8" x14ac:dyDescent="0.25">
      <c r="A39" t="s">
        <v>33</v>
      </c>
      <c r="B39" s="3" t="e">
        <f>VLOOKUP(UPPER($A39),#REF!,2,FALSE)</f>
        <v>#REF!</v>
      </c>
      <c r="C39" s="3" t="e">
        <f>VLOOKUP(UPPER($A39),#REF!,3,FALSE)</f>
        <v>#REF!</v>
      </c>
      <c r="D39" s="3" t="e">
        <f>VLOOKUP(UPPER($A39),#REF!,6,FALSE)</f>
        <v>#REF!</v>
      </c>
      <c r="E39" s="6" t="e">
        <f>VLOOKUP(UPPER($A39),#REF!,5,FALSE)</f>
        <v>#REF!</v>
      </c>
      <c r="F39" s="3" t="e">
        <f>VLOOKUP(UPPER($A39),#REF!,8,FALSE)</f>
        <v>#REF!</v>
      </c>
      <c r="G39" s="3" t="e">
        <f>VLOOKUP(UPPER($A39),#REF!,11,FALSE)</f>
        <v>#REF!</v>
      </c>
      <c r="H39" s="9" t="e">
        <f>VLOOKUP(UPPER($A39),#REF!,10,FALSE)</f>
        <v>#REF!</v>
      </c>
    </row>
    <row r="40" spans="1:8" x14ac:dyDescent="0.25">
      <c r="B40" s="3"/>
      <c r="C40" s="3"/>
      <c r="D40" s="3"/>
      <c r="E40" s="6"/>
      <c r="F40" s="3"/>
      <c r="G40" s="3"/>
      <c r="H40" s="9"/>
    </row>
    <row r="41" spans="1:8" x14ac:dyDescent="0.25">
      <c r="A41" t="str">
        <f>CONCATENATE("* Values from ",TEXT(YEARLY_DATES!$B$1,"mm/dd/yyyy")," Certified Values")</f>
        <v>* Values from 07/25/2024 Certified Values</v>
      </c>
      <c r="B41" s="3"/>
      <c r="C41" s="3"/>
      <c r="D41" s="3"/>
      <c r="E41" s="6"/>
      <c r="F41" s="3"/>
      <c r="G41" s="3"/>
      <c r="H41" s="9"/>
    </row>
    <row r="42" spans="1:8" x14ac:dyDescent="0.25">
      <c r="B42" s="3"/>
      <c r="C42" s="3"/>
      <c r="D42" s="3"/>
      <c r="E42" s="6"/>
      <c r="F42" s="3"/>
      <c r="G42" s="3"/>
      <c r="H42" s="9"/>
    </row>
    <row r="43" spans="1:8" ht="15.75" x14ac:dyDescent="0.25">
      <c r="A43" s="2" t="s">
        <v>5</v>
      </c>
      <c r="B43" s="3"/>
      <c r="C43" s="3"/>
      <c r="D43" s="3"/>
      <c r="E43" s="6"/>
      <c r="F43" s="3"/>
      <c r="G43" s="3"/>
      <c r="H43" s="9"/>
    </row>
    <row r="44" spans="1:8" x14ac:dyDescent="0.25">
      <c r="A44" t="s">
        <v>34</v>
      </c>
      <c r="B44" s="3" t="e">
        <f>VLOOKUP(UPPER($A44),#REF!,2,FALSE)</f>
        <v>#REF!</v>
      </c>
      <c r="C44" s="3" t="e">
        <f>VLOOKUP(UPPER($A44),#REF!,3,FALSE)</f>
        <v>#REF!</v>
      </c>
      <c r="D44" s="3" t="e">
        <f>VLOOKUP(UPPER($A44),#REF!,6,FALSE)</f>
        <v>#REF!</v>
      </c>
      <c r="E44" s="6" t="e">
        <f>VLOOKUP(UPPER($A44),#REF!,5,FALSE)</f>
        <v>#REF!</v>
      </c>
      <c r="F44" s="3" t="e">
        <f>VLOOKUP(UPPER($A44),#REF!,8,FALSE)</f>
        <v>#REF!</v>
      </c>
      <c r="G44" s="3" t="e">
        <f>VLOOKUP(UPPER($A44),#REF!,11,FALSE)</f>
        <v>#REF!</v>
      </c>
      <c r="H44" s="9" t="e">
        <f>VLOOKUP(UPPER($A44),#REF!,10,FALSE)</f>
        <v>#REF!</v>
      </c>
    </row>
    <row r="45" spans="1:8" x14ac:dyDescent="0.25">
      <c r="A45" t="s">
        <v>35</v>
      </c>
      <c r="B45" s="3" t="e">
        <f>VLOOKUP(UPPER($A45),#REF!,2,FALSE)</f>
        <v>#REF!</v>
      </c>
      <c r="C45" s="3" t="e">
        <f>VLOOKUP(UPPER($A45),#REF!,3,FALSE)</f>
        <v>#REF!</v>
      </c>
      <c r="D45" s="3" t="e">
        <f>VLOOKUP(UPPER($A45),#REF!,6,FALSE)</f>
        <v>#REF!</v>
      </c>
      <c r="E45" s="6" t="e">
        <f>VLOOKUP(UPPER($A45),#REF!,5,FALSE)</f>
        <v>#REF!</v>
      </c>
      <c r="F45" s="3" t="e">
        <f>VLOOKUP(UPPER($A45),#REF!,8,FALSE)</f>
        <v>#REF!</v>
      </c>
      <c r="G45" s="3" t="e">
        <f>VLOOKUP(UPPER($A45),#REF!,11,FALSE)</f>
        <v>#REF!</v>
      </c>
      <c r="H45" s="9" t="e">
        <f>VLOOKUP(UPPER($A45),#REF!,10,FALSE)</f>
        <v>#REF!</v>
      </c>
    </row>
    <row r="46" spans="1:8" x14ac:dyDescent="0.25">
      <c r="A46" t="s">
        <v>36</v>
      </c>
      <c r="B46" s="3" t="e">
        <f>VLOOKUP(UPPER($A46),#REF!,2,FALSE)</f>
        <v>#REF!</v>
      </c>
      <c r="C46" s="3" t="e">
        <f>VLOOKUP(UPPER($A46),#REF!,3,FALSE)</f>
        <v>#REF!</v>
      </c>
      <c r="D46" s="3" t="e">
        <f>VLOOKUP(UPPER($A46),#REF!,6,FALSE)</f>
        <v>#REF!</v>
      </c>
      <c r="E46" s="6" t="e">
        <f>VLOOKUP(UPPER($A46),#REF!,5,FALSE)</f>
        <v>#REF!</v>
      </c>
      <c r="F46" s="3" t="e">
        <f>VLOOKUP(UPPER($A46),#REF!,8,FALSE)</f>
        <v>#REF!</v>
      </c>
      <c r="G46" s="3" t="e">
        <f>VLOOKUP(UPPER($A46),#REF!,11,FALSE)</f>
        <v>#REF!</v>
      </c>
      <c r="H46" s="9" t="e">
        <f>VLOOKUP(UPPER($A46),#REF!,10,FALSE)</f>
        <v>#REF!</v>
      </c>
    </row>
    <row r="47" spans="1:8" x14ac:dyDescent="0.25">
      <c r="A47" t="s">
        <v>37</v>
      </c>
      <c r="B47" s="3" t="e">
        <f>VLOOKUP(UPPER($A47),#REF!,2,FALSE)</f>
        <v>#REF!</v>
      </c>
      <c r="C47" s="3" t="e">
        <f>VLOOKUP(UPPER($A47),#REF!,3,FALSE)</f>
        <v>#REF!</v>
      </c>
      <c r="D47" s="3" t="e">
        <f>VLOOKUP(UPPER($A47),#REF!,6,FALSE)</f>
        <v>#REF!</v>
      </c>
      <c r="E47" s="6" t="e">
        <f>VLOOKUP(UPPER($A47),#REF!,5,FALSE)</f>
        <v>#REF!</v>
      </c>
      <c r="F47" s="3" t="e">
        <f>VLOOKUP(UPPER($A47),#REF!,8,FALSE)</f>
        <v>#REF!</v>
      </c>
      <c r="G47" s="3" t="e">
        <f>VLOOKUP(UPPER($A47),#REF!,11,FALSE)</f>
        <v>#REF!</v>
      </c>
      <c r="H47" s="9" t="e">
        <f>VLOOKUP(UPPER($A47),#REF!,10,FALSE)</f>
        <v>#REF!</v>
      </c>
    </row>
    <row r="48" spans="1:8" x14ac:dyDescent="0.25">
      <c r="A48" t="s">
        <v>38</v>
      </c>
      <c r="B48" s="3" t="e">
        <f>VLOOKUP(UPPER($A48),#REF!,2,FALSE)</f>
        <v>#REF!</v>
      </c>
      <c r="C48" s="3" t="e">
        <f>VLOOKUP(UPPER($A48),#REF!,3,FALSE)</f>
        <v>#REF!</v>
      </c>
      <c r="D48" s="3" t="e">
        <f>VLOOKUP(UPPER($A48),#REF!,6,FALSE)</f>
        <v>#REF!</v>
      </c>
      <c r="E48" s="6" t="e">
        <f>VLOOKUP(UPPER($A48),#REF!,5,FALSE)</f>
        <v>#REF!</v>
      </c>
      <c r="F48" s="3" t="e">
        <f>VLOOKUP(UPPER($A48),#REF!,8,FALSE)</f>
        <v>#REF!</v>
      </c>
      <c r="G48" s="3" t="e">
        <f>VLOOKUP(UPPER($A48),#REF!,11,FALSE)</f>
        <v>#REF!</v>
      </c>
      <c r="H48" s="9" t="e">
        <f>VLOOKUP(UPPER($A48),#REF!,10,FALSE)</f>
        <v>#REF!</v>
      </c>
    </row>
    <row r="49" spans="1:8" x14ac:dyDescent="0.25">
      <c r="A49" t="s">
        <v>39</v>
      </c>
      <c r="B49" s="3" t="e">
        <f>VLOOKUP(UPPER($A49),#REF!,2,FALSE)</f>
        <v>#REF!</v>
      </c>
      <c r="C49" s="3" t="e">
        <f>VLOOKUP(UPPER($A49),#REF!,3,FALSE)</f>
        <v>#REF!</v>
      </c>
      <c r="D49" s="3" t="e">
        <f>VLOOKUP(UPPER($A49),#REF!,6,FALSE)</f>
        <v>#REF!</v>
      </c>
      <c r="E49" s="6" t="e">
        <f>VLOOKUP(UPPER($A49),#REF!,5,FALSE)</f>
        <v>#REF!</v>
      </c>
      <c r="F49" s="3" t="e">
        <f>VLOOKUP(UPPER($A49),#REF!,8,FALSE)</f>
        <v>#REF!</v>
      </c>
      <c r="G49" s="3" t="e">
        <f>VLOOKUP(UPPER($A49),#REF!,11,FALSE)</f>
        <v>#REF!</v>
      </c>
      <c r="H49" s="9" t="e">
        <f>VLOOKUP(UPPER($A49),#REF!,10,FALSE)</f>
        <v>#REF!</v>
      </c>
    </row>
    <row r="50" spans="1:8" x14ac:dyDescent="0.25">
      <c r="A50" t="s">
        <v>40</v>
      </c>
      <c r="B50" s="3" t="e">
        <f>VLOOKUP(UPPER($A50),#REF!,2,FALSE)</f>
        <v>#REF!</v>
      </c>
      <c r="C50" s="3" t="e">
        <f>VLOOKUP(UPPER($A50),#REF!,3,FALSE)</f>
        <v>#REF!</v>
      </c>
      <c r="D50" s="3" t="e">
        <f>VLOOKUP(UPPER($A50),#REF!,6,FALSE)</f>
        <v>#REF!</v>
      </c>
      <c r="E50" s="6" t="e">
        <f>VLOOKUP(UPPER($A50),#REF!,5,FALSE)</f>
        <v>#REF!</v>
      </c>
      <c r="F50" s="3" t="e">
        <f>VLOOKUP(UPPER($A50),#REF!,8,FALSE)</f>
        <v>#REF!</v>
      </c>
      <c r="G50" s="3" t="e">
        <f>VLOOKUP(UPPER($A50),#REF!,11,FALSE)</f>
        <v>#REF!</v>
      </c>
      <c r="H50" s="9" t="e">
        <f>VLOOKUP(UPPER($A50),#REF!,10,FALSE)</f>
        <v>#REF!</v>
      </c>
    </row>
    <row r="51" spans="1:8" x14ac:dyDescent="0.25">
      <c r="A51" t="s">
        <v>41</v>
      </c>
      <c r="B51" s="3" t="e">
        <f>VLOOKUP(UPPER($A51),#REF!,2,FALSE)</f>
        <v>#REF!</v>
      </c>
      <c r="C51" s="3" t="e">
        <f>VLOOKUP(UPPER($A51),#REF!,3,FALSE)</f>
        <v>#REF!</v>
      </c>
      <c r="D51" s="3" t="e">
        <f>VLOOKUP(UPPER($A51),#REF!,6,FALSE)</f>
        <v>#REF!</v>
      </c>
      <c r="E51" s="6" t="e">
        <f>VLOOKUP(UPPER($A51),#REF!,5,FALSE)</f>
        <v>#REF!</v>
      </c>
      <c r="F51" s="3" t="e">
        <f>VLOOKUP(UPPER($A51),#REF!,8,FALSE)</f>
        <v>#REF!</v>
      </c>
      <c r="G51" s="3" t="e">
        <f>VLOOKUP(UPPER($A51),#REF!,11,FALSE)</f>
        <v>#REF!</v>
      </c>
      <c r="H51" s="9" t="e">
        <f>VLOOKUP(UPPER($A51),#REF!,10,FALSE)</f>
        <v>#REF!</v>
      </c>
    </row>
    <row r="52" spans="1:8" x14ac:dyDescent="0.25">
      <c r="A52" t="s">
        <v>42</v>
      </c>
      <c r="B52" s="3" t="e">
        <f>VLOOKUP(UPPER($A52),#REF!,2,FALSE)</f>
        <v>#REF!</v>
      </c>
      <c r="C52" s="3" t="e">
        <f>VLOOKUP(UPPER($A52),#REF!,3,FALSE)</f>
        <v>#REF!</v>
      </c>
      <c r="D52" s="3" t="e">
        <f>VLOOKUP(UPPER($A52),#REF!,6,FALSE)</f>
        <v>#REF!</v>
      </c>
      <c r="E52" s="6" t="e">
        <f>VLOOKUP(UPPER($A52),#REF!,5,FALSE)</f>
        <v>#REF!</v>
      </c>
      <c r="F52" s="3" t="e">
        <f>VLOOKUP(UPPER($A52),#REF!,8,FALSE)</f>
        <v>#REF!</v>
      </c>
      <c r="G52" s="3" t="e">
        <f>VLOOKUP(UPPER($A52),#REF!,11,FALSE)</f>
        <v>#REF!</v>
      </c>
      <c r="H52" s="9" t="e">
        <f>VLOOKUP(UPPER($A52),#REF!,10,FALSE)</f>
        <v>#REF!</v>
      </c>
    </row>
    <row r="53" spans="1:8" x14ac:dyDescent="0.25">
      <c r="A53" t="s">
        <v>43</v>
      </c>
      <c r="B53" s="3" t="e">
        <f>VLOOKUP(UPPER($A53),#REF!,2,FALSE)</f>
        <v>#REF!</v>
      </c>
      <c r="C53" s="3" t="e">
        <f>VLOOKUP(UPPER($A53),#REF!,3,FALSE)</f>
        <v>#REF!</v>
      </c>
      <c r="D53" s="3" t="e">
        <f>VLOOKUP(UPPER($A53),#REF!,6,FALSE)</f>
        <v>#REF!</v>
      </c>
      <c r="E53" s="6" t="e">
        <f>VLOOKUP(UPPER($A53),#REF!,5,FALSE)</f>
        <v>#REF!</v>
      </c>
      <c r="F53" s="3" t="e">
        <f>VLOOKUP(UPPER($A53),#REF!,8,FALSE)</f>
        <v>#REF!</v>
      </c>
      <c r="G53" s="3" t="e">
        <f>VLOOKUP(UPPER($A53),#REF!,11,FALSE)</f>
        <v>#REF!</v>
      </c>
      <c r="H53" s="9" t="e">
        <f>VLOOKUP(UPPER($A53),#REF!,10,FALSE)</f>
        <v>#REF!</v>
      </c>
    </row>
    <row r="54" spans="1:8" x14ac:dyDescent="0.25">
      <c r="A54" t="s">
        <v>44</v>
      </c>
      <c r="B54" s="3" t="e">
        <f>VLOOKUP(UPPER($A54),#REF!,2,FALSE)</f>
        <v>#REF!</v>
      </c>
      <c r="C54" s="3" t="e">
        <f>VLOOKUP(UPPER($A54),#REF!,3,FALSE)</f>
        <v>#REF!</v>
      </c>
      <c r="D54" s="3" t="e">
        <f>VLOOKUP(UPPER($A54),#REF!,6,FALSE)</f>
        <v>#REF!</v>
      </c>
      <c r="E54" s="6" t="e">
        <f>VLOOKUP(UPPER($A54),#REF!,5,FALSE)</f>
        <v>#REF!</v>
      </c>
      <c r="F54" s="3" t="e">
        <f>VLOOKUP(UPPER($A54),#REF!,8,FALSE)</f>
        <v>#REF!</v>
      </c>
      <c r="G54" s="3" t="e">
        <f>VLOOKUP(UPPER($A54),#REF!,11,FALSE)</f>
        <v>#REF!</v>
      </c>
      <c r="H54" s="9" t="e">
        <f>VLOOKUP(UPPER($A54),#REF!,10,FALSE)</f>
        <v>#REF!</v>
      </c>
    </row>
    <row r="55" spans="1:8" x14ac:dyDescent="0.25">
      <c r="A55" t="s">
        <v>45</v>
      </c>
      <c r="B55" s="3" t="e">
        <f>VLOOKUP(UPPER($A55),#REF!,2,FALSE)</f>
        <v>#REF!</v>
      </c>
      <c r="C55" s="3" t="e">
        <f>VLOOKUP(UPPER($A55),#REF!,3,FALSE)</f>
        <v>#REF!</v>
      </c>
      <c r="D55" s="3" t="e">
        <f>VLOOKUP(UPPER($A55),#REF!,6,FALSE)</f>
        <v>#REF!</v>
      </c>
      <c r="E55" s="6" t="e">
        <f>VLOOKUP(UPPER($A55),#REF!,5,FALSE)</f>
        <v>#REF!</v>
      </c>
      <c r="F55" s="3" t="e">
        <f>VLOOKUP(UPPER($A55),#REF!,8,FALSE)</f>
        <v>#REF!</v>
      </c>
      <c r="G55" s="3" t="e">
        <f>VLOOKUP(UPPER($A55),#REF!,11,FALSE)</f>
        <v>#REF!</v>
      </c>
      <c r="H55" s="9" t="e">
        <f>VLOOKUP(UPPER($A55),#REF!,10,FALSE)</f>
        <v>#REF!</v>
      </c>
    </row>
    <row r="56" spans="1:8" x14ac:dyDescent="0.25">
      <c r="A56" t="s">
        <v>46</v>
      </c>
      <c r="B56" s="3" t="e">
        <f>VLOOKUP(UPPER($A56),#REF!,2,FALSE)</f>
        <v>#REF!</v>
      </c>
      <c r="C56" s="3" t="e">
        <f>VLOOKUP(UPPER($A56),#REF!,3,FALSE)</f>
        <v>#REF!</v>
      </c>
      <c r="D56" s="3" t="e">
        <f>VLOOKUP(UPPER($A56),#REF!,6,FALSE)</f>
        <v>#REF!</v>
      </c>
      <c r="E56" s="6" t="e">
        <f>VLOOKUP(UPPER($A56),#REF!,5,FALSE)</f>
        <v>#REF!</v>
      </c>
      <c r="F56" s="3" t="e">
        <f>VLOOKUP(UPPER($A56),#REF!,8,FALSE)</f>
        <v>#REF!</v>
      </c>
      <c r="G56" s="3" t="e">
        <f>VLOOKUP(UPPER($A56),#REF!,11,FALSE)</f>
        <v>#REF!</v>
      </c>
      <c r="H56" s="9" t="e">
        <f>VLOOKUP(UPPER($A56),#REF!,10,FALSE)</f>
        <v>#REF!</v>
      </c>
    </row>
    <row r="57" spans="1:8" x14ac:dyDescent="0.25">
      <c r="A57" t="s">
        <v>47</v>
      </c>
      <c r="B57" s="3" t="e">
        <f>VLOOKUP(UPPER($A57),#REF!,2,FALSE)</f>
        <v>#REF!</v>
      </c>
      <c r="C57" s="3" t="e">
        <f>VLOOKUP(UPPER($A57),#REF!,3,FALSE)</f>
        <v>#REF!</v>
      </c>
      <c r="D57" s="3" t="e">
        <f>VLOOKUP(UPPER($A57),#REF!,6,FALSE)</f>
        <v>#REF!</v>
      </c>
      <c r="E57" s="6" t="e">
        <f>VLOOKUP(UPPER($A57),#REF!,5,FALSE)</f>
        <v>#REF!</v>
      </c>
      <c r="F57" s="3" t="e">
        <f>VLOOKUP(UPPER($A57),#REF!,8,FALSE)</f>
        <v>#REF!</v>
      </c>
      <c r="G57" s="3" t="e">
        <f>VLOOKUP(UPPER($A57),#REF!,11,FALSE)</f>
        <v>#REF!</v>
      </c>
      <c r="H57" s="9" t="e">
        <f>VLOOKUP(UPPER($A57),#REF!,10,FALSE)</f>
        <v>#REF!</v>
      </c>
    </row>
    <row r="58" spans="1:8" x14ac:dyDescent="0.25">
      <c r="A58" t="s">
        <v>48</v>
      </c>
      <c r="B58" s="3" t="e">
        <f>VLOOKUP(UPPER($A58),#REF!,2,FALSE)</f>
        <v>#REF!</v>
      </c>
      <c r="C58" s="3" t="e">
        <f>VLOOKUP(UPPER($A58),#REF!,3,FALSE)</f>
        <v>#REF!</v>
      </c>
      <c r="D58" s="3" t="e">
        <f>VLOOKUP(UPPER($A58),#REF!,6,FALSE)</f>
        <v>#REF!</v>
      </c>
      <c r="E58" s="6" t="e">
        <f>VLOOKUP(UPPER($A58),#REF!,5,FALSE)</f>
        <v>#REF!</v>
      </c>
      <c r="F58" s="3" t="e">
        <f>VLOOKUP(UPPER($A58),#REF!,8,FALSE)</f>
        <v>#REF!</v>
      </c>
      <c r="G58" s="3" t="e">
        <f>VLOOKUP(UPPER($A58),#REF!,11,FALSE)</f>
        <v>#REF!</v>
      </c>
      <c r="H58" s="9" t="e">
        <f>VLOOKUP(UPPER($A58),#REF!,10,FALSE)</f>
        <v>#REF!</v>
      </c>
    </row>
    <row r="59" spans="1:8" x14ac:dyDescent="0.25">
      <c r="A59" t="s">
        <v>49</v>
      </c>
      <c r="B59" s="3" t="e">
        <f>VLOOKUP(UPPER($A59),#REF!,2,FALSE)</f>
        <v>#REF!</v>
      </c>
      <c r="C59" s="3" t="e">
        <f>VLOOKUP(UPPER($A59),#REF!,3,FALSE)</f>
        <v>#REF!</v>
      </c>
      <c r="D59" s="3" t="e">
        <f>VLOOKUP(UPPER($A59),#REF!,6,FALSE)</f>
        <v>#REF!</v>
      </c>
      <c r="E59" s="6" t="e">
        <f>VLOOKUP(UPPER($A59),#REF!,5,FALSE)</f>
        <v>#REF!</v>
      </c>
      <c r="F59" s="3" t="e">
        <f>VLOOKUP(UPPER($A59),#REF!,8,FALSE)</f>
        <v>#REF!</v>
      </c>
      <c r="G59" s="3" t="e">
        <f>VLOOKUP(UPPER($A59),#REF!,11,FALSE)</f>
        <v>#REF!</v>
      </c>
      <c r="H59" s="9" t="e">
        <f>VLOOKUP(UPPER($A59),#REF!,10,FALSE)</f>
        <v>#REF!</v>
      </c>
    </row>
    <row r="60" spans="1:8" x14ac:dyDescent="0.25">
      <c r="A60" t="s">
        <v>50</v>
      </c>
      <c r="B60" s="3" t="e">
        <f>VLOOKUP(UPPER($A60),#REF!,2,FALSE)</f>
        <v>#REF!</v>
      </c>
      <c r="C60" s="3" t="e">
        <f>VLOOKUP(UPPER($A60),#REF!,3,FALSE)</f>
        <v>#REF!</v>
      </c>
      <c r="D60" s="3" t="e">
        <f>VLOOKUP(UPPER($A60),#REF!,6,FALSE)</f>
        <v>#REF!</v>
      </c>
      <c r="E60" s="6" t="e">
        <f>VLOOKUP(UPPER($A60),#REF!,5,FALSE)</f>
        <v>#REF!</v>
      </c>
      <c r="F60" s="3" t="e">
        <f>VLOOKUP(UPPER($A60),#REF!,8,FALSE)</f>
        <v>#REF!</v>
      </c>
      <c r="G60" s="3" t="e">
        <f>VLOOKUP(UPPER($A60),#REF!,11,FALSE)</f>
        <v>#REF!</v>
      </c>
      <c r="H60" s="9" t="e">
        <f>VLOOKUP(UPPER($A60),#REF!,10,FALSE)</f>
        <v>#REF!</v>
      </c>
    </row>
    <row r="61" spans="1:8" x14ac:dyDescent="0.25">
      <c r="A61" t="s">
        <v>51</v>
      </c>
      <c r="B61" s="3" t="e">
        <f>VLOOKUP(UPPER($A61),#REF!,2,FALSE)</f>
        <v>#REF!</v>
      </c>
      <c r="C61" s="3" t="e">
        <f>VLOOKUP(UPPER($A61),#REF!,3,FALSE)</f>
        <v>#REF!</v>
      </c>
      <c r="D61" s="3" t="e">
        <f>VLOOKUP(UPPER($A61),#REF!,6,FALSE)</f>
        <v>#REF!</v>
      </c>
      <c r="E61" s="6" t="e">
        <f>VLOOKUP(UPPER($A61),#REF!,5,FALSE)</f>
        <v>#REF!</v>
      </c>
      <c r="F61" s="3" t="e">
        <f>VLOOKUP(UPPER($A61),#REF!,8,FALSE)</f>
        <v>#REF!</v>
      </c>
      <c r="G61" s="3" t="e">
        <f>VLOOKUP(UPPER($A61),#REF!,11,FALSE)</f>
        <v>#REF!</v>
      </c>
      <c r="H61" s="9" t="e">
        <f>VLOOKUP(UPPER($A61),#REF!,10,FALSE)</f>
        <v>#REF!</v>
      </c>
    </row>
    <row r="62" spans="1:8" x14ac:dyDescent="0.25">
      <c r="A62" t="s">
        <v>52</v>
      </c>
      <c r="B62" s="3" t="e">
        <f>VLOOKUP(UPPER($A62),#REF!,2,FALSE)</f>
        <v>#REF!</v>
      </c>
      <c r="C62" s="3" t="e">
        <f>VLOOKUP(UPPER($A62),#REF!,3,FALSE)</f>
        <v>#REF!</v>
      </c>
      <c r="D62" s="3" t="e">
        <f>VLOOKUP(UPPER($A62),#REF!,6,FALSE)</f>
        <v>#REF!</v>
      </c>
      <c r="E62" s="6" t="e">
        <f>VLOOKUP(UPPER($A62),#REF!,5,FALSE)</f>
        <v>#REF!</v>
      </c>
      <c r="F62" s="3" t="e">
        <f>VLOOKUP(UPPER($A62),#REF!,8,FALSE)</f>
        <v>#REF!</v>
      </c>
      <c r="G62" s="3" t="e">
        <f>VLOOKUP(UPPER($A62),#REF!,11,FALSE)</f>
        <v>#REF!</v>
      </c>
      <c r="H62" s="9" t="e">
        <f>VLOOKUP(UPPER($A62),#REF!,10,FALSE)</f>
        <v>#REF!</v>
      </c>
    </row>
    <row r="63" spans="1:8" x14ac:dyDescent="0.25">
      <c r="A63" t="s">
        <v>53</v>
      </c>
      <c r="B63" s="3" t="e">
        <f>VLOOKUP(UPPER($A63),#REF!,2,FALSE)</f>
        <v>#REF!</v>
      </c>
      <c r="C63" s="3" t="e">
        <f>VLOOKUP(UPPER($A63),#REF!,3,FALSE)</f>
        <v>#REF!</v>
      </c>
      <c r="D63" s="3" t="e">
        <f>VLOOKUP(UPPER($A63),#REF!,6,FALSE)</f>
        <v>#REF!</v>
      </c>
      <c r="E63" s="6" t="e">
        <f>VLOOKUP(UPPER($A63),#REF!,5,FALSE)</f>
        <v>#REF!</v>
      </c>
      <c r="F63" s="3" t="e">
        <f>VLOOKUP(UPPER($A63),#REF!,8,FALSE)</f>
        <v>#REF!</v>
      </c>
      <c r="G63" s="3" t="e">
        <f>VLOOKUP(UPPER($A63),#REF!,11,FALSE)</f>
        <v>#REF!</v>
      </c>
      <c r="H63" s="9" t="e">
        <f>VLOOKUP(UPPER($A63),#REF!,10,FALSE)</f>
        <v>#REF!</v>
      </c>
    </row>
    <row r="64" spans="1:8" x14ac:dyDescent="0.25">
      <c r="A64" t="s">
        <v>54</v>
      </c>
      <c r="B64" s="3" t="e">
        <f>VLOOKUP(UPPER($A64),#REF!,2,FALSE)</f>
        <v>#REF!</v>
      </c>
      <c r="C64" s="3" t="e">
        <f>VLOOKUP(UPPER($A64),#REF!,3,FALSE)</f>
        <v>#REF!</v>
      </c>
      <c r="D64" s="3" t="e">
        <f>VLOOKUP(UPPER($A64),#REF!,6,FALSE)</f>
        <v>#REF!</v>
      </c>
      <c r="E64" s="6" t="e">
        <f>VLOOKUP(UPPER($A64),#REF!,5,FALSE)</f>
        <v>#REF!</v>
      </c>
      <c r="F64" s="3" t="e">
        <f>VLOOKUP(UPPER($A64),#REF!,8,FALSE)</f>
        <v>#REF!</v>
      </c>
      <c r="G64" s="3" t="e">
        <f>VLOOKUP(UPPER($A64),#REF!,11,FALSE)</f>
        <v>#REF!</v>
      </c>
      <c r="H64" s="9" t="e">
        <f>VLOOKUP(UPPER($A64),#REF!,10,FALSE)</f>
        <v>#REF!</v>
      </c>
    </row>
    <row r="65" spans="1:8" x14ac:dyDescent="0.25">
      <c r="A65" t="s">
        <v>55</v>
      </c>
      <c r="B65" s="3" t="e">
        <f>VLOOKUP(UPPER($A65),#REF!,2,FALSE)</f>
        <v>#REF!</v>
      </c>
      <c r="C65" s="3" t="e">
        <f>VLOOKUP(UPPER($A65),#REF!,3,FALSE)</f>
        <v>#REF!</v>
      </c>
      <c r="D65" s="3" t="e">
        <f>VLOOKUP(UPPER($A65),#REF!,6,FALSE)</f>
        <v>#REF!</v>
      </c>
      <c r="E65" s="6" t="e">
        <f>VLOOKUP(UPPER($A65),#REF!,5,FALSE)</f>
        <v>#REF!</v>
      </c>
      <c r="F65" s="3" t="e">
        <f>VLOOKUP(UPPER($A65),#REF!,8,FALSE)</f>
        <v>#REF!</v>
      </c>
      <c r="G65" s="3" t="e">
        <f>VLOOKUP(UPPER($A65),#REF!,11,FALSE)</f>
        <v>#REF!</v>
      </c>
      <c r="H65" s="9" t="e">
        <f>VLOOKUP(UPPER($A65),#REF!,10,FALSE)</f>
        <v>#REF!</v>
      </c>
    </row>
    <row r="66" spans="1:8" x14ac:dyDescent="0.25">
      <c r="A66" t="s">
        <v>56</v>
      </c>
      <c r="B66" s="3" t="e">
        <f>VLOOKUP(UPPER($A66),#REF!,2,FALSE)</f>
        <v>#REF!</v>
      </c>
      <c r="C66" s="3" t="e">
        <f>VLOOKUP(UPPER($A66),#REF!,3,FALSE)</f>
        <v>#REF!</v>
      </c>
      <c r="D66" s="3" t="e">
        <f>VLOOKUP(UPPER($A66),#REF!,6,FALSE)</f>
        <v>#REF!</v>
      </c>
      <c r="E66" s="6" t="e">
        <f>VLOOKUP(UPPER($A66),#REF!,5,FALSE)</f>
        <v>#REF!</v>
      </c>
      <c r="F66" s="3" t="e">
        <f>VLOOKUP(UPPER($A66),#REF!,8,FALSE)</f>
        <v>#REF!</v>
      </c>
      <c r="G66" s="3" t="e">
        <f>VLOOKUP(UPPER($A66),#REF!,11,FALSE)</f>
        <v>#REF!</v>
      </c>
      <c r="H66" s="9" t="e">
        <f>VLOOKUP(UPPER($A66),#REF!,10,FALSE)</f>
        <v>#REF!</v>
      </c>
    </row>
    <row r="67" spans="1:8" x14ac:dyDescent="0.25">
      <c r="A67" t="s">
        <v>57</v>
      </c>
      <c r="B67" s="3" t="e">
        <f>VLOOKUP(UPPER($A67),#REF!,2,FALSE)</f>
        <v>#REF!</v>
      </c>
      <c r="C67" s="3" t="e">
        <f>VLOOKUP(UPPER($A67),#REF!,3,FALSE)</f>
        <v>#REF!</v>
      </c>
      <c r="D67" s="3" t="e">
        <f>VLOOKUP(UPPER($A67),#REF!,6,FALSE)</f>
        <v>#REF!</v>
      </c>
      <c r="E67" s="6" t="e">
        <f>VLOOKUP(UPPER($A67),#REF!,5,FALSE)</f>
        <v>#REF!</v>
      </c>
      <c r="F67" s="3" t="e">
        <f>VLOOKUP(UPPER($A67),#REF!,8,FALSE)</f>
        <v>#REF!</v>
      </c>
      <c r="G67" s="3" t="e">
        <f>VLOOKUP(UPPER($A67),#REF!,11,FALSE)</f>
        <v>#REF!</v>
      </c>
      <c r="H67" s="9" t="e">
        <f>VLOOKUP(UPPER($A67),#REF!,10,FALSE)</f>
        <v>#REF!</v>
      </c>
    </row>
    <row r="68" spans="1:8" x14ac:dyDescent="0.25">
      <c r="A68" t="s">
        <v>58</v>
      </c>
      <c r="B68" s="3" t="e">
        <f>VLOOKUP(UPPER($A68),#REF!,2,FALSE)</f>
        <v>#REF!</v>
      </c>
      <c r="C68" s="3" t="e">
        <f>VLOOKUP(UPPER($A68),#REF!,3,FALSE)</f>
        <v>#REF!</v>
      </c>
      <c r="D68" s="3" t="e">
        <f>VLOOKUP(UPPER($A68),#REF!,6,FALSE)</f>
        <v>#REF!</v>
      </c>
      <c r="E68" s="6" t="e">
        <f>VLOOKUP(UPPER($A68),#REF!,5,FALSE)</f>
        <v>#REF!</v>
      </c>
      <c r="F68" s="3" t="e">
        <f>VLOOKUP(UPPER($A68),#REF!,8,FALSE)</f>
        <v>#REF!</v>
      </c>
      <c r="G68" s="3" t="e">
        <f>VLOOKUP(UPPER($A68),#REF!,11,FALSE)</f>
        <v>#REF!</v>
      </c>
      <c r="H68" s="9" t="e">
        <f>VLOOKUP(UPPER($A68),#REF!,10,FALSE)</f>
        <v>#REF!</v>
      </c>
    </row>
    <row r="69" spans="1:8" x14ac:dyDescent="0.25">
      <c r="A69" t="s">
        <v>59</v>
      </c>
      <c r="B69" s="3" t="e">
        <f>VLOOKUP(UPPER($A69),#REF!,2,FALSE)</f>
        <v>#REF!</v>
      </c>
      <c r="C69" s="3" t="e">
        <f>VLOOKUP(UPPER($A69),#REF!,3,FALSE)</f>
        <v>#REF!</v>
      </c>
      <c r="D69" s="3" t="e">
        <f>VLOOKUP(UPPER($A69),#REF!,6,FALSE)</f>
        <v>#REF!</v>
      </c>
      <c r="E69" s="6" t="e">
        <f>VLOOKUP(UPPER($A69),#REF!,5,FALSE)</f>
        <v>#REF!</v>
      </c>
      <c r="F69" s="3" t="e">
        <f>VLOOKUP(UPPER($A69),#REF!,8,FALSE)</f>
        <v>#REF!</v>
      </c>
      <c r="G69" s="3" t="e">
        <f>VLOOKUP(UPPER($A69),#REF!,11,FALSE)</f>
        <v>#REF!</v>
      </c>
      <c r="H69" s="9" t="e">
        <f>VLOOKUP(UPPER($A69),#REF!,10,FALSE)</f>
        <v>#REF!</v>
      </c>
    </row>
    <row r="70" spans="1:8" x14ac:dyDescent="0.25">
      <c r="A70" t="s">
        <v>60</v>
      </c>
      <c r="B70" s="3" t="e">
        <f>VLOOKUP(UPPER($A70),#REF!,2,FALSE)</f>
        <v>#REF!</v>
      </c>
      <c r="C70" s="3" t="e">
        <f>VLOOKUP(UPPER($A70),#REF!,3,FALSE)</f>
        <v>#REF!</v>
      </c>
      <c r="D70" s="3" t="e">
        <f>VLOOKUP(UPPER($A70),#REF!,6,FALSE)</f>
        <v>#REF!</v>
      </c>
      <c r="E70" s="6" t="e">
        <f>VLOOKUP(UPPER($A70),#REF!,5,FALSE)</f>
        <v>#REF!</v>
      </c>
      <c r="F70" s="3" t="e">
        <f>VLOOKUP(UPPER($A70),#REF!,8,FALSE)</f>
        <v>#REF!</v>
      </c>
      <c r="G70" s="3" t="e">
        <f>VLOOKUP(UPPER($A70),#REF!,11,FALSE)</f>
        <v>#REF!</v>
      </c>
      <c r="H70" s="9" t="e">
        <f>VLOOKUP(UPPER($A70),#REF!,10,FALSE)</f>
        <v>#REF!</v>
      </c>
    </row>
    <row r="71" spans="1:8" x14ac:dyDescent="0.25">
      <c r="A71" t="s">
        <v>61</v>
      </c>
      <c r="B71" s="3" t="e">
        <f>VLOOKUP(UPPER($A71),#REF!,2,FALSE)</f>
        <v>#REF!</v>
      </c>
      <c r="C71" s="3" t="e">
        <f>VLOOKUP(UPPER($A71),#REF!,3,FALSE)</f>
        <v>#REF!</v>
      </c>
      <c r="D71" s="3" t="e">
        <f>VLOOKUP(UPPER($A71),#REF!,6,FALSE)</f>
        <v>#REF!</v>
      </c>
      <c r="E71" s="6" t="e">
        <f>VLOOKUP(UPPER($A71),#REF!,5,FALSE)</f>
        <v>#REF!</v>
      </c>
      <c r="F71" s="3" t="e">
        <f>VLOOKUP(UPPER($A71),#REF!,8,FALSE)</f>
        <v>#REF!</v>
      </c>
      <c r="G71" s="3" t="e">
        <f>VLOOKUP(UPPER($A71),#REF!,11,FALSE)</f>
        <v>#REF!</v>
      </c>
      <c r="H71" s="9" t="e">
        <f>VLOOKUP(UPPER($A71),#REF!,10,FALSE)</f>
        <v>#REF!</v>
      </c>
    </row>
    <row r="72" spans="1:8" x14ac:dyDescent="0.25">
      <c r="B72" s="3"/>
      <c r="C72" s="3"/>
      <c r="D72" s="3"/>
      <c r="E72" s="3"/>
      <c r="F72" s="3"/>
      <c r="G72" s="3"/>
      <c r="H72" s="3"/>
    </row>
    <row r="73" spans="1:8" x14ac:dyDescent="0.25">
      <c r="A73" t="str">
        <f>CONCATENATE("* Values from ",TEXT(YEARLY_DATES!$B$1,"mm/dd/yyyy")," Certified Values")</f>
        <v>* Values from 07/25/2024 Certified Values</v>
      </c>
      <c r="B73" s="3"/>
      <c r="C73" s="3"/>
      <c r="D73" s="3"/>
      <c r="E73" s="3"/>
      <c r="F73" s="3"/>
      <c r="G73" s="3"/>
      <c r="H73" s="3"/>
    </row>
  </sheetData>
  <mergeCells count="3">
    <mergeCell ref="A1:H1"/>
    <mergeCell ref="A2:H2"/>
    <mergeCell ref="A3:H3"/>
  </mergeCells>
  <printOptions horizontalCentered="1" verticalCentered="1"/>
  <pageMargins left="0.7" right="0.7" top="0.75" bottom="0.75" header="0.3" footer="0.3"/>
  <pageSetup scale="77" orientation="landscape" r:id="rId1"/>
  <headerFooter>
    <oddFooter>&amp;LDallas Central Appraisal District QCD
&amp;D&amp;RPage &amp;P of &amp;N
&amp;F</oddFooter>
  </headerFooter>
  <rowBreaks count="1" manualBreakCount="1">
    <brk id="41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E0F8-6B56-4D1D-BE98-2D9422B5A90B}">
  <dimension ref="A1"/>
  <sheetViews>
    <sheetView workbookViewId="0">
      <selection activeCell="A2" sqref="A2:L58"/>
    </sheetView>
  </sheetViews>
  <sheetFormatPr defaultRowHeight="15" x14ac:dyDescent="0.25"/>
  <cols>
    <col min="1" max="1" width="35.5703125" bestFit="1" customWidth="1"/>
    <col min="2" max="2" width="10.85546875" bestFit="1" customWidth="1"/>
    <col min="3" max="3" width="16.7109375" bestFit="1" customWidth="1"/>
    <col min="4" max="4" width="17.28515625" bestFit="1" customWidth="1"/>
    <col min="5" max="5" width="24" bestFit="1" customWidth="1"/>
    <col min="6" max="6" width="26.42578125" bestFit="1" customWidth="1"/>
    <col min="7" max="7" width="23.42578125" bestFit="1" customWidth="1"/>
    <col min="8" max="8" width="27.5703125" bestFit="1" customWidth="1"/>
    <col min="9" max="9" width="24.7109375" bestFit="1" customWidth="1"/>
    <col min="10" max="10" width="24.28515625" bestFit="1" customWidth="1"/>
    <col min="11" max="11" width="32.85546875" bestFit="1" customWidth="1"/>
    <col min="12" max="12" width="29.8554687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"/>
  <sheetViews>
    <sheetView workbookViewId="0">
      <selection activeCell="B2" sqref="B2"/>
    </sheetView>
  </sheetViews>
  <sheetFormatPr defaultRowHeight="15" x14ac:dyDescent="0.25"/>
  <cols>
    <col min="2" max="2" width="9.7109375" bestFit="1" customWidth="1"/>
  </cols>
  <sheetData>
    <row r="1" spans="1:2" x14ac:dyDescent="0.25">
      <c r="A1" t="s">
        <v>62</v>
      </c>
      <c r="B1" s="7">
        <v>45498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A077AC-3163-4D2F-9CD3-C71F950D2F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AVG_SFR</vt:lpstr>
      <vt:lpstr>csv_import</vt:lpstr>
      <vt:lpstr>YEARLY_DATES</vt:lpstr>
      <vt:lpstr>AVG_SFR!Print_Area</vt:lpstr>
      <vt:lpstr>AVG_SFR!Print_Titles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Welles, William</dc:creator>
  <cp:lastModifiedBy>William Welles</cp:lastModifiedBy>
  <cp:lastPrinted>2021-07-19T19:01:40Z</cp:lastPrinted>
  <dcterms:created xsi:type="dcterms:W3CDTF">2021-07-16T21:11:08Z</dcterms:created>
  <dcterms:modified xsi:type="dcterms:W3CDTF">2025-11-20T06:23:19Z</dcterms:modified>
</cp:coreProperties>
</file>