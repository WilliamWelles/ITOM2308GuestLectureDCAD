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N:\ITOM2308GuestLectureDCAD\Data\SingleFamilyResidenceAverage\"/>
    </mc:Choice>
  </mc:AlternateContent>
  <xr:revisionPtr revIDLastSave="0" documentId="13_ncr:1_{4620C820-87B6-4A1E-9B90-D342A6DBC2CA}" xr6:coauthVersionLast="47" xr6:coauthVersionMax="47" xr10:uidLastSave="{00000000-0000-0000-0000-000000000000}"/>
  <bookViews>
    <workbookView xWindow="-120" yWindow="-120" windowWidth="51840" windowHeight="21240" xr2:uid="{00000000-000D-0000-FFFF-FFFF00000000}"/>
  </bookViews>
  <sheets>
    <sheet name="AVG_SFR" sheetId="3" r:id="rId1"/>
    <sheet name="csv_import" sheetId="5" r:id="rId2"/>
    <sheet name="YEARLY_DATES" sheetId="4" r:id="rId3"/>
  </sheets>
  <definedNames>
    <definedName name="ExternalData_1" localSheetId="1" hidden="1">csv_import!$A$1:$L$58</definedName>
    <definedName name="_xlnm.Print_Area" localSheetId="0">AVG_SFR!$A$1:$H$73</definedName>
    <definedName name="_xlnm.Print_Titles" localSheetId="0">AVG_SFR!$1:$6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1" i="3" l="1"/>
  <c r="G71" i="3"/>
  <c r="F71" i="3"/>
  <c r="E71" i="3"/>
  <c r="D71" i="3"/>
  <c r="C71" i="3"/>
  <c r="B71" i="3"/>
  <c r="H70" i="3"/>
  <c r="G70" i="3"/>
  <c r="F70" i="3"/>
  <c r="E70" i="3"/>
  <c r="D70" i="3"/>
  <c r="C70" i="3"/>
  <c r="B70" i="3"/>
  <c r="H69" i="3"/>
  <c r="G69" i="3"/>
  <c r="F69" i="3"/>
  <c r="E69" i="3"/>
  <c r="D69" i="3"/>
  <c r="C69" i="3"/>
  <c r="B69" i="3"/>
  <c r="H68" i="3"/>
  <c r="G68" i="3"/>
  <c r="F68" i="3"/>
  <c r="E68" i="3"/>
  <c r="D68" i="3"/>
  <c r="C68" i="3"/>
  <c r="B68" i="3"/>
  <c r="H67" i="3"/>
  <c r="G67" i="3"/>
  <c r="F67" i="3"/>
  <c r="E67" i="3"/>
  <c r="D67" i="3"/>
  <c r="C67" i="3"/>
  <c r="B67" i="3"/>
  <c r="H66" i="3"/>
  <c r="G66" i="3"/>
  <c r="F66" i="3"/>
  <c r="E66" i="3"/>
  <c r="D66" i="3"/>
  <c r="C66" i="3"/>
  <c r="B66" i="3"/>
  <c r="H65" i="3"/>
  <c r="G65" i="3"/>
  <c r="F65" i="3"/>
  <c r="E65" i="3"/>
  <c r="D65" i="3"/>
  <c r="C65" i="3"/>
  <c r="B65" i="3"/>
  <c r="H64" i="3"/>
  <c r="G64" i="3"/>
  <c r="F64" i="3"/>
  <c r="E64" i="3"/>
  <c r="D64" i="3"/>
  <c r="C64" i="3"/>
  <c r="B64" i="3"/>
  <c r="H63" i="3"/>
  <c r="G63" i="3"/>
  <c r="F63" i="3"/>
  <c r="E63" i="3"/>
  <c r="D63" i="3"/>
  <c r="C63" i="3"/>
  <c r="B63" i="3"/>
  <c r="H62" i="3"/>
  <c r="G62" i="3"/>
  <c r="F62" i="3"/>
  <c r="E62" i="3"/>
  <c r="D62" i="3"/>
  <c r="C62" i="3"/>
  <c r="B62" i="3"/>
  <c r="H61" i="3"/>
  <c r="G61" i="3"/>
  <c r="F61" i="3"/>
  <c r="E61" i="3"/>
  <c r="D61" i="3"/>
  <c r="C61" i="3"/>
  <c r="B61" i="3"/>
  <c r="H60" i="3"/>
  <c r="G60" i="3"/>
  <c r="F60" i="3"/>
  <c r="E60" i="3"/>
  <c r="D60" i="3"/>
  <c r="C60" i="3"/>
  <c r="B60" i="3"/>
  <c r="H59" i="3"/>
  <c r="G59" i="3"/>
  <c r="F59" i="3"/>
  <c r="E59" i="3"/>
  <c r="D59" i="3"/>
  <c r="C59" i="3"/>
  <c r="B59" i="3"/>
  <c r="H58" i="3"/>
  <c r="G58" i="3"/>
  <c r="F58" i="3"/>
  <c r="E58" i="3"/>
  <c r="D58" i="3"/>
  <c r="C58" i="3"/>
  <c r="B58" i="3"/>
  <c r="H57" i="3"/>
  <c r="G57" i="3"/>
  <c r="F57" i="3"/>
  <c r="E57" i="3"/>
  <c r="D57" i="3"/>
  <c r="C57" i="3"/>
  <c r="B57" i="3"/>
  <c r="H56" i="3"/>
  <c r="G56" i="3"/>
  <c r="F56" i="3"/>
  <c r="E56" i="3"/>
  <c r="D56" i="3"/>
  <c r="C56" i="3"/>
  <c r="B56" i="3"/>
  <c r="H55" i="3"/>
  <c r="G55" i="3"/>
  <c r="F55" i="3"/>
  <c r="E55" i="3"/>
  <c r="D55" i="3"/>
  <c r="C55" i="3"/>
  <c r="B55" i="3"/>
  <c r="H54" i="3"/>
  <c r="G54" i="3"/>
  <c r="F54" i="3"/>
  <c r="E54" i="3"/>
  <c r="D54" i="3"/>
  <c r="C54" i="3"/>
  <c r="B54" i="3"/>
  <c r="H53" i="3"/>
  <c r="G53" i="3"/>
  <c r="F53" i="3"/>
  <c r="E53" i="3"/>
  <c r="D53" i="3"/>
  <c r="C53" i="3"/>
  <c r="B53" i="3"/>
  <c r="H52" i="3"/>
  <c r="G52" i="3"/>
  <c r="F52" i="3"/>
  <c r="E52" i="3"/>
  <c r="D52" i="3"/>
  <c r="C52" i="3"/>
  <c r="B52" i="3"/>
  <c r="H51" i="3"/>
  <c r="G51" i="3"/>
  <c r="F51" i="3"/>
  <c r="E51" i="3"/>
  <c r="D51" i="3"/>
  <c r="C51" i="3"/>
  <c r="B51" i="3"/>
  <c r="H50" i="3"/>
  <c r="G50" i="3"/>
  <c r="F50" i="3"/>
  <c r="E50" i="3"/>
  <c r="D50" i="3"/>
  <c r="C50" i="3"/>
  <c r="B50" i="3"/>
  <c r="H49" i="3"/>
  <c r="G49" i="3"/>
  <c r="F49" i="3"/>
  <c r="E49" i="3"/>
  <c r="D49" i="3"/>
  <c r="C49" i="3"/>
  <c r="B49" i="3"/>
  <c r="H48" i="3"/>
  <c r="G48" i="3"/>
  <c r="F48" i="3"/>
  <c r="E48" i="3"/>
  <c r="D48" i="3"/>
  <c r="C48" i="3"/>
  <c r="B48" i="3"/>
  <c r="H47" i="3"/>
  <c r="G47" i="3"/>
  <c r="F47" i="3"/>
  <c r="E47" i="3"/>
  <c r="D47" i="3"/>
  <c r="C47" i="3"/>
  <c r="B47" i="3"/>
  <c r="H46" i="3"/>
  <c r="G46" i="3"/>
  <c r="F46" i="3"/>
  <c r="E46" i="3"/>
  <c r="D46" i="3"/>
  <c r="C46" i="3"/>
  <c r="B46" i="3"/>
  <c r="H45" i="3"/>
  <c r="G45" i="3"/>
  <c r="F45" i="3"/>
  <c r="E45" i="3"/>
  <c r="D45" i="3"/>
  <c r="C45" i="3"/>
  <c r="B45" i="3"/>
  <c r="H44" i="3"/>
  <c r="G44" i="3"/>
  <c r="F44" i="3"/>
  <c r="E44" i="3"/>
  <c r="D44" i="3"/>
  <c r="C44" i="3"/>
  <c r="B44" i="3"/>
  <c r="H39" i="3"/>
  <c r="G39" i="3"/>
  <c r="F39" i="3"/>
  <c r="E39" i="3"/>
  <c r="D39" i="3"/>
  <c r="C39" i="3"/>
  <c r="B39" i="3"/>
  <c r="H38" i="3"/>
  <c r="G38" i="3"/>
  <c r="F38" i="3"/>
  <c r="E38" i="3"/>
  <c r="D38" i="3"/>
  <c r="C38" i="3"/>
  <c r="B38" i="3"/>
  <c r="H37" i="3"/>
  <c r="G37" i="3"/>
  <c r="F37" i="3"/>
  <c r="E37" i="3"/>
  <c r="D37" i="3"/>
  <c r="C37" i="3"/>
  <c r="B37" i="3"/>
  <c r="H36" i="3"/>
  <c r="G36" i="3"/>
  <c r="F36" i="3"/>
  <c r="E36" i="3"/>
  <c r="D36" i="3"/>
  <c r="C36" i="3"/>
  <c r="B36" i="3"/>
  <c r="H35" i="3"/>
  <c r="G35" i="3"/>
  <c r="F35" i="3"/>
  <c r="E35" i="3"/>
  <c r="D35" i="3"/>
  <c r="C35" i="3"/>
  <c r="B35" i="3"/>
  <c r="H34" i="3"/>
  <c r="G34" i="3"/>
  <c r="F34" i="3"/>
  <c r="E34" i="3"/>
  <c r="D34" i="3"/>
  <c r="C34" i="3"/>
  <c r="B34" i="3"/>
  <c r="H33" i="3"/>
  <c r="G33" i="3"/>
  <c r="F33" i="3"/>
  <c r="E33" i="3"/>
  <c r="D33" i="3"/>
  <c r="C33" i="3"/>
  <c r="B33" i="3"/>
  <c r="H32" i="3"/>
  <c r="G32" i="3"/>
  <c r="F32" i="3"/>
  <c r="E32" i="3"/>
  <c r="D32" i="3"/>
  <c r="C32" i="3"/>
  <c r="B32" i="3"/>
  <c r="H31" i="3"/>
  <c r="G31" i="3"/>
  <c r="F31" i="3"/>
  <c r="E31" i="3"/>
  <c r="D31" i="3"/>
  <c r="C31" i="3"/>
  <c r="B31" i="3"/>
  <c r="H28" i="3"/>
  <c r="G28" i="3"/>
  <c r="F28" i="3"/>
  <c r="E28" i="3"/>
  <c r="D28" i="3"/>
  <c r="C28" i="3"/>
  <c r="B28" i="3"/>
  <c r="H27" i="3"/>
  <c r="G27" i="3"/>
  <c r="F27" i="3"/>
  <c r="E27" i="3"/>
  <c r="D27" i="3"/>
  <c r="C27" i="3"/>
  <c r="B27" i="3"/>
  <c r="H26" i="3"/>
  <c r="G26" i="3"/>
  <c r="F26" i="3"/>
  <c r="E26" i="3"/>
  <c r="D26" i="3"/>
  <c r="C26" i="3"/>
  <c r="B26" i="3"/>
  <c r="H25" i="3"/>
  <c r="G25" i="3"/>
  <c r="F25" i="3"/>
  <c r="E25" i="3"/>
  <c r="D25" i="3"/>
  <c r="C25" i="3"/>
  <c r="B25" i="3"/>
  <c r="H24" i="3"/>
  <c r="G24" i="3"/>
  <c r="F24" i="3"/>
  <c r="E24" i="3"/>
  <c r="D24" i="3"/>
  <c r="C24" i="3"/>
  <c r="B24" i="3"/>
  <c r="H23" i="3"/>
  <c r="G23" i="3"/>
  <c r="F23" i="3"/>
  <c r="E23" i="3"/>
  <c r="D23" i="3"/>
  <c r="C23" i="3"/>
  <c r="B23" i="3"/>
  <c r="H22" i="3"/>
  <c r="G22" i="3"/>
  <c r="F22" i="3"/>
  <c r="E22" i="3"/>
  <c r="D22" i="3"/>
  <c r="C22" i="3"/>
  <c r="B22" i="3"/>
  <c r="H21" i="3"/>
  <c r="G21" i="3"/>
  <c r="F21" i="3"/>
  <c r="E21" i="3"/>
  <c r="D21" i="3"/>
  <c r="C21" i="3"/>
  <c r="B21" i="3"/>
  <c r="H20" i="3"/>
  <c r="G20" i="3"/>
  <c r="F20" i="3"/>
  <c r="E20" i="3"/>
  <c r="D20" i="3"/>
  <c r="C20" i="3"/>
  <c r="B20" i="3"/>
  <c r="H19" i="3"/>
  <c r="G19" i="3"/>
  <c r="F19" i="3"/>
  <c r="E19" i="3"/>
  <c r="D19" i="3"/>
  <c r="C19" i="3"/>
  <c r="B19" i="3"/>
  <c r="H18" i="3"/>
  <c r="G18" i="3"/>
  <c r="F18" i="3"/>
  <c r="E18" i="3"/>
  <c r="D18" i="3"/>
  <c r="C18" i="3"/>
  <c r="B18" i="3"/>
  <c r="H17" i="3"/>
  <c r="G17" i="3"/>
  <c r="F17" i="3"/>
  <c r="E17" i="3"/>
  <c r="D17" i="3"/>
  <c r="C17" i="3"/>
  <c r="B17" i="3"/>
  <c r="H16" i="3"/>
  <c r="G16" i="3"/>
  <c r="F16" i="3"/>
  <c r="E16" i="3"/>
  <c r="D16" i="3"/>
  <c r="C16" i="3"/>
  <c r="B16" i="3"/>
  <c r="H15" i="3"/>
  <c r="G15" i="3"/>
  <c r="F15" i="3"/>
  <c r="E15" i="3"/>
  <c r="D15" i="3"/>
  <c r="C15" i="3"/>
  <c r="B15" i="3"/>
  <c r="H14" i="3"/>
  <c r="G14" i="3"/>
  <c r="F14" i="3"/>
  <c r="E14" i="3"/>
  <c r="D14" i="3"/>
  <c r="C14" i="3"/>
  <c r="B14" i="3"/>
  <c r="H11" i="3"/>
  <c r="G11" i="3"/>
  <c r="F11" i="3"/>
  <c r="E11" i="3"/>
  <c r="D11" i="3"/>
  <c r="C11" i="3"/>
  <c r="B11" i="3"/>
  <c r="H10" i="3"/>
  <c r="G10" i="3"/>
  <c r="F10" i="3"/>
  <c r="E10" i="3"/>
  <c r="D10" i="3"/>
  <c r="C10" i="3"/>
  <c r="B10" i="3"/>
  <c r="H9" i="3"/>
  <c r="G9" i="3"/>
  <c r="F9" i="3"/>
  <c r="E9" i="3"/>
  <c r="D9" i="3"/>
  <c r="C9" i="3"/>
  <c r="B9" i="3"/>
  <c r="A41" i="3" l="1"/>
  <c r="A73" i="3"/>
  <c r="A3" i="3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D348BB-E44E-4475-976C-467AB2F84603}" keepAlive="1" name="Query - avg_sfr" description="Connection to the 'avg_sfr' query in the workbook." type="5" refreshedVersion="8" background="1" saveData="1">
    <dbPr connection="Provider=Microsoft.Mashup.OleDb.1;Data Source=$Workbook$;Location=avg_sfr;Extended Properties=&quot;&quot;" command="SELECT * FROM [avg_sfr]"/>
  </connection>
</connections>
</file>

<file path=xl/sharedStrings.xml><?xml version="1.0" encoding="utf-8"?>
<sst xmlns="http://schemas.openxmlformats.org/spreadsheetml/2006/main" count="205" uniqueCount="192">
  <si>
    <t>DALLAS CENTRAL APPRAISAL DISTRICT</t>
  </si>
  <si>
    <t>Average Values for Detached Single Family Residences (SFR)  (Category A11)</t>
  </si>
  <si>
    <t>Countywide Entities</t>
  </si>
  <si>
    <t>School Districts</t>
  </si>
  <si>
    <t>Special Districts</t>
  </si>
  <si>
    <t>Cities</t>
  </si>
  <si>
    <t>Market Value</t>
  </si>
  <si>
    <t>Taxable Value</t>
  </si>
  <si>
    <t>Total</t>
  </si>
  <si>
    <t>Average</t>
  </si>
  <si>
    <t>% Change  *</t>
  </si>
  <si>
    <t>Taxing Entity Name</t>
  </si>
  <si>
    <t>Parcel Count</t>
  </si>
  <si>
    <t>from Prev Year</t>
  </si>
  <si>
    <t>Dallas County</t>
  </si>
  <si>
    <t>Parkland Hospital</t>
  </si>
  <si>
    <t>Carrollton-Farmers Branch ISD</t>
  </si>
  <si>
    <t>Cedar Hill ISD</t>
  </si>
  <si>
    <t>Coppell ISD</t>
  </si>
  <si>
    <t>Dallas ISD</t>
  </si>
  <si>
    <t>DeSoto ISD</t>
  </si>
  <si>
    <t>Duncanville ISD</t>
  </si>
  <si>
    <t>Ferris ISD</t>
  </si>
  <si>
    <t>Garland ISD</t>
  </si>
  <si>
    <t>Grand Prairie ISD</t>
  </si>
  <si>
    <t>Highland Park ISD</t>
  </si>
  <si>
    <t>Irving ISD</t>
  </si>
  <si>
    <t>Lancaster ISD</t>
  </si>
  <si>
    <t>Richardson ISD</t>
  </si>
  <si>
    <t>Sunnyvale ISD</t>
  </si>
  <si>
    <t>Dallas County URD</t>
  </si>
  <si>
    <t>Irving FCD, Section III</t>
  </si>
  <si>
    <t>Northwest Dallas County FCD</t>
  </si>
  <si>
    <t>Valwood Improvement Authority</t>
  </si>
  <si>
    <t>Addison</t>
  </si>
  <si>
    <t>Balch Springs</t>
  </si>
  <si>
    <t>Carrollton</t>
  </si>
  <si>
    <t>Cedar Hill</t>
  </si>
  <si>
    <t>Cockrell Hill</t>
  </si>
  <si>
    <t>Combine</t>
  </si>
  <si>
    <t>Coppell</t>
  </si>
  <si>
    <t>Dallas</t>
  </si>
  <si>
    <t>DeSoto</t>
  </si>
  <si>
    <t>Duncanville</t>
  </si>
  <si>
    <t>Farmers Branch</t>
  </si>
  <si>
    <t>Garland</t>
  </si>
  <si>
    <t>Glenn Heights</t>
  </si>
  <si>
    <t>Grand Prairie</t>
  </si>
  <si>
    <t>Highland Park</t>
  </si>
  <si>
    <t>Hutchins</t>
  </si>
  <si>
    <t>Irving</t>
  </si>
  <si>
    <t>Lancaster</t>
  </si>
  <si>
    <t>Mesquite</t>
  </si>
  <si>
    <t>Ovilla</t>
  </si>
  <si>
    <t>Richardson</t>
  </si>
  <si>
    <t>Rowlett</t>
  </si>
  <si>
    <t>Sachse</t>
  </si>
  <si>
    <t>Seagoville</t>
  </si>
  <si>
    <t>Sunnyvale</t>
  </si>
  <si>
    <t>University Park</t>
  </si>
  <si>
    <t>Wilmer</t>
  </si>
  <si>
    <t>Wylie</t>
  </si>
  <si>
    <t>Cert Date</t>
  </si>
  <si>
    <t>Dallas College</t>
  </si>
  <si>
    <t>Mesquite ISD</t>
  </si>
  <si>
    <t>Dallas County FCD1</t>
  </si>
  <si>
    <t>Denton Co Levee Impr Dist1</t>
  </si>
  <si>
    <t>Denton Co LID1 and RUD1</t>
  </si>
  <si>
    <t>Lancaster MUD1</t>
  </si>
  <si>
    <t>Dallas County MUD4</t>
  </si>
  <si>
    <t>JURISDICTION</t>
  </si>
  <si>
    <t>PARCELS</t>
  </si>
  <si>
    <t>CURRENT_MKT</t>
  </si>
  <si>
    <t>PRIOR_MARKET</t>
  </si>
  <si>
    <t>MARKET_CHANGE_PCT</t>
  </si>
  <si>
    <t>CURRENT_AVERAGE_MKT</t>
  </si>
  <si>
    <t>PRIOR_AVERAGE_MKT</t>
  </si>
  <si>
    <t>CURRENT_TAXABLE_VALUE</t>
  </si>
  <si>
    <t>PRIOR_TAXABLE_VALUE</t>
  </si>
  <si>
    <t>TAXABLE_CHANGE_PCT</t>
  </si>
  <si>
    <t>CURRENT_AVG_TAXABLE_VALUE</t>
  </si>
  <si>
    <t>PRIOR_AVG_TAXABLE_VALUE</t>
  </si>
  <si>
    <t>ADDISON</t>
  </si>
  <si>
    <t>0.1325</t>
  </si>
  <si>
    <t>BALCH SPRINGS</t>
  </si>
  <si>
    <t>0.1755</t>
  </si>
  <si>
    <t>CARROLLTON</t>
  </si>
  <si>
    <t>0.1268</t>
  </si>
  <si>
    <t>CARROLLTON-FARMERS BRANCH ISD</t>
  </si>
  <si>
    <t>0.1558</t>
  </si>
  <si>
    <t>CEDAR HILL</t>
  </si>
  <si>
    <t>0.1521</t>
  </si>
  <si>
    <t>CEDAR HILL ISD</t>
  </si>
  <si>
    <t>0.1555</t>
  </si>
  <si>
    <t>COCKRELL HILL</t>
  </si>
  <si>
    <t>0.1548</t>
  </si>
  <si>
    <t>COMBINE</t>
  </si>
  <si>
    <t>0.1714</t>
  </si>
  <si>
    <t>COPPELL</t>
  </si>
  <si>
    <t>0.1200</t>
  </si>
  <si>
    <t>COPPELL ISD</t>
  </si>
  <si>
    <t>0.1316</t>
  </si>
  <si>
    <t>DALLAS</t>
  </si>
  <si>
    <t>0.1451</t>
  </si>
  <si>
    <t>DALLAS COLLEGE</t>
  </si>
  <si>
    <t>0.1456</t>
  </si>
  <si>
    <t>DALLAS COUNTY</t>
  </si>
  <si>
    <t>DALLAS COUNTY FCD1</t>
  </si>
  <si>
    <t>0.3419</t>
  </si>
  <si>
    <t>DALLAS COUNTY MUD4</t>
  </si>
  <si>
    <t>8.9182</t>
  </si>
  <si>
    <t>DALLAS COUNTY URD</t>
  </si>
  <si>
    <t>0.1194</t>
  </si>
  <si>
    <t>DALLAS ISD</t>
  </si>
  <si>
    <t>0.1687</t>
  </si>
  <si>
    <t>DENTON CO LEVEE IMPR DIST1</t>
  </si>
  <si>
    <t>0.1002</t>
  </si>
  <si>
    <t>DENTON CO LID1 AND RUD1</t>
  </si>
  <si>
    <t>0.1214</t>
  </si>
  <si>
    <t>DESOTO</t>
  </si>
  <si>
    <t>0.1490</t>
  </si>
  <si>
    <t>DESOTO ISD</t>
  </si>
  <si>
    <t>0.1828</t>
  </si>
  <si>
    <t>DUNCANVILLE</t>
  </si>
  <si>
    <t>0.1352</t>
  </si>
  <si>
    <t>DUNCANVILLE ISD</t>
  </si>
  <si>
    <t>0.1803</t>
  </si>
  <si>
    <t>FARMERS BRANCH</t>
  </si>
  <si>
    <t>0.1413</t>
  </si>
  <si>
    <t>FERRIS ISD</t>
  </si>
  <si>
    <t>0.2155</t>
  </si>
  <si>
    <t>GARLAND</t>
  </si>
  <si>
    <t>0.1389</t>
  </si>
  <si>
    <t>GARLAND ISD</t>
  </si>
  <si>
    <t>0.1728</t>
  </si>
  <si>
    <t>GLENN HEIGHTS</t>
  </si>
  <si>
    <t>0.1345</t>
  </si>
  <si>
    <t>GRAND PRAIRIE</t>
  </si>
  <si>
    <t>0.1053</t>
  </si>
  <si>
    <t>GRAND PRAIRIE ISD</t>
  </si>
  <si>
    <t>0.1568</t>
  </si>
  <si>
    <t>HIGHLAND PARK</t>
  </si>
  <si>
    <t>0.1267</t>
  </si>
  <si>
    <t>HIGHLAND PARK ISD</t>
  </si>
  <si>
    <t>0.1240</t>
  </si>
  <si>
    <t>HUTCHINS</t>
  </si>
  <si>
    <t>0.2300</t>
  </si>
  <si>
    <t>IRVING</t>
  </si>
  <si>
    <t>0.1303</t>
  </si>
  <si>
    <t>IRVING FCD, SECTION III</t>
  </si>
  <si>
    <t>0.1395</t>
  </si>
  <si>
    <t>IRVING ISD</t>
  </si>
  <si>
    <t>0.1753</t>
  </si>
  <si>
    <t>LANCASTER</t>
  </si>
  <si>
    <t>0.1370</t>
  </si>
  <si>
    <t>LANCASTER ISD</t>
  </si>
  <si>
    <t>0.1514</t>
  </si>
  <si>
    <t>LANCASTER MUD1</t>
  </si>
  <si>
    <t>0.1079</t>
  </si>
  <si>
    <t>MESQUITE</t>
  </si>
  <si>
    <t>0.1635</t>
  </si>
  <si>
    <t>MESQUITE ISD</t>
  </si>
  <si>
    <t>0.1991</t>
  </si>
  <si>
    <t>NO TOWN</t>
  </si>
  <si>
    <t>NULL</t>
  </si>
  <si>
    <t>NORTHWEST DALLAS COUNTY FCD</t>
  </si>
  <si>
    <t>OVILLA</t>
  </si>
  <si>
    <t>0.1156</t>
  </si>
  <si>
    <t>PARKLAND HOSPITAL</t>
  </si>
  <si>
    <t>RICHARDSON</t>
  </si>
  <si>
    <t>0.1472</t>
  </si>
  <si>
    <t>RICHARDSON ISD</t>
  </si>
  <si>
    <t>0.1592</t>
  </si>
  <si>
    <t>ROWLETT</t>
  </si>
  <si>
    <t>0.1476</t>
  </si>
  <si>
    <t>SACHSE</t>
  </si>
  <si>
    <t>0.1359</t>
  </si>
  <si>
    <t>SEAGOVILLE</t>
  </si>
  <si>
    <t>0.1599</t>
  </si>
  <si>
    <t>SUNNYVALE</t>
  </si>
  <si>
    <t>0.1365</t>
  </si>
  <si>
    <t>SUNNYVALE ISD</t>
  </si>
  <si>
    <t>0.1584</t>
  </si>
  <si>
    <t>UNASSIGNED</t>
  </si>
  <si>
    <t>UNIVERSITY PARK</t>
  </si>
  <si>
    <t>0.1011</t>
  </si>
  <si>
    <t>VALWOOD IMPROVEMENT AUTHORITY</t>
  </si>
  <si>
    <t>0.1085</t>
  </si>
  <si>
    <t>WILMER</t>
  </si>
  <si>
    <t>0.1449</t>
  </si>
  <si>
    <t>WYLIE</t>
  </si>
  <si>
    <t>0.2383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</si>
</sst>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">
    <xf numFmtId="0" fontId="0" fillId="0" borderId="0" xfId="0"/>
    <xf numFmtId="0" fontId="0" fillId="0" borderId="1" xfId="0" applyBorder="1"/>
    <xf numFmtId="0" fontId="2" fillId="0" borderId="0" xfId="0" applyFont="1"/>
    <xf numFmtId="38" fontId="0" fillId="0" borderId="0" xfId="0" applyNumberFormat="1"/>
    <xf numFmtId="38" fontId="0" fillId="0" borderId="0" xfId="0" applyNumberFormat="1" applyAlignment="1">
      <alignment horizontal="center"/>
    </xf>
    <xf numFmtId="38" fontId="0" fillId="0" borderId="1" xfId="0" applyNumberFormat="1" applyBorder="1" applyAlignment="1">
      <alignment horizontal="center"/>
    </xf>
    <xf numFmtId="10" fontId="0" fillId="0" borderId="0" xfId="1" applyNumberFormat="1" applyFont="1"/>
    <xf numFmtId="14" fontId="0" fillId="0" borderId="0" xfId="0" applyNumberFormat="1"/>
    <xf numFmtId="9" fontId="0" fillId="0" borderId="0" xfId="1" applyFont="1"/>
    <xf numFmtId="0" fontId="0" fillId="0" borderId="0" xfId="0" applyAlignment="1">
      <alignment horizontal="center"/>
    </xf>
    <xf numFmtId="0" fontId="0" fillId="0" borderId="0" xfId="0" applyNumberFormat="1"/>
  </cellXfs>
  <cellStyles count="2">
    <cellStyle name="Normal" xfId="0" builtinId="0"/>
    <cellStyle name="Percent" xfId="1" builtinId="5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ECD0E0F-B37E-403B-BF00-7DAF5623B458}" autoFormatId="16" applyNumberFormats="0" applyBorderFormats="0" applyFontFormats="0" applyPatternFormats="0" applyAlignmentFormats="0" applyWidthHeightFormats="0">
  <queryTableRefresh nextId="13">
    <queryTableFields count="12">
      <queryTableField id="1" name="JURISDICTION" tableColumnId="1"/>
      <queryTableField id="2" name="PARCELS" tableColumnId="2"/>
      <queryTableField id="3" name="CURRENT_MKT" tableColumnId="3"/>
      <queryTableField id="4" name="PRIOR_MARKET" tableColumnId="4"/>
      <queryTableField id="5" name="MARKET_CHANGE_PCT" tableColumnId="5"/>
      <queryTableField id="6" name="CURRENT_AVERAGE_MKT" tableColumnId="6"/>
      <queryTableField id="7" name="PRIOR_AVERAGE_MKT" tableColumnId="7"/>
      <queryTableField id="8" name="CURRENT_TAXABLE_VALUE" tableColumnId="8"/>
      <queryTableField id="9" name="PRIOR_TAXABLE_VALUE" tableColumnId="9"/>
      <queryTableField id="10" name="TAXABLE_CHANGE_PCT" tableColumnId="10"/>
      <queryTableField id="11" name="CURRENT_AVG_TAXABLE_VALUE" tableColumnId="11"/>
      <queryTableField id="12" name="PRIOR_AVG_TAXABLE_VALUE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DD971AD-2BD1-43F8-9E07-8CAAB7298DCA}" name="avg_sfr" displayName="avg_sfr" ref="A1:L58" tableType="queryTable" totalsRowShown="0">
  <autoFilter ref="A1:L58" xr:uid="{FDD971AD-2BD1-43F8-9E07-8CAAB7298DCA}"/>
  <tableColumns count="12">
    <tableColumn id="1" xr3:uid="{8309FC31-C970-4216-9520-589EC26E9E5E}" uniqueName="1" name="JURISDICTION" queryTableFieldId="1" dataDxfId="1"/>
    <tableColumn id="2" xr3:uid="{9119E47C-A590-4F0A-B7D7-3A01AD8B3FE9}" uniqueName="2" name="PARCELS" queryTableFieldId="2"/>
    <tableColumn id="3" xr3:uid="{C25B2671-367A-4F7F-9C88-A7044D4827B0}" uniqueName="3" name="CURRENT_MKT" queryTableFieldId="3"/>
    <tableColumn id="4" xr3:uid="{4731F01F-D143-48E4-A76C-DCAC7AE9CE84}" uniqueName="4" name="PRIOR_MARKET" queryTableFieldId="4"/>
    <tableColumn id="5" xr3:uid="{4A4EF6D9-8515-456D-B8E5-9CF534006804}" uniqueName="5" name="MARKET_CHANGE_PCT" queryTableFieldId="5"/>
    <tableColumn id="6" xr3:uid="{07BBC5D5-5873-462E-B386-D51EE926A405}" uniqueName="6" name="CURRENT_AVERAGE_MKT" queryTableFieldId="6"/>
    <tableColumn id="7" xr3:uid="{C9926721-AEE6-4FC8-8E37-33C504546BF9}" uniqueName="7" name="PRIOR_AVERAGE_MKT" queryTableFieldId="7"/>
    <tableColumn id="8" xr3:uid="{3F1BDF82-9DE1-46AF-8005-5EBCBEC0172D}" uniqueName="8" name="CURRENT_TAXABLE_VALUE" queryTableFieldId="8"/>
    <tableColumn id="9" xr3:uid="{2856DBE6-707C-423A-983B-F1E9422AE9FB}" uniqueName="9" name="PRIOR_TAXABLE_VALUE" queryTableFieldId="9"/>
    <tableColumn id="10" xr3:uid="{725E2633-BF37-4AD7-A07B-491419FB47BD}" uniqueName="10" name="TAXABLE_CHANGE_PCT" queryTableFieldId="10" dataDxfId="0"/>
    <tableColumn id="11" xr3:uid="{42F123EB-9438-4D7B-9D33-6A7180356F45}" uniqueName="11" name="CURRENT_AVG_TAXABLE_VALUE" queryTableFieldId="11"/>
    <tableColumn id="12" xr3:uid="{556AAC8C-D603-430A-9A6A-56591448A87D}" uniqueName="12" name="PRIOR_AVG_TAXABLE_VALUE" queryTableFieldId="1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3"/>
  <sheetViews>
    <sheetView tabSelected="1" view="pageBreakPreview" zoomScaleNormal="100" zoomScaleSheetLayoutView="100" workbookViewId="0">
      <selection activeCell="H9" sqref="H9"/>
    </sheetView>
  </sheetViews>
  <sheetFormatPr defaultRowHeight="15" x14ac:dyDescent="0.25"/>
  <cols>
    <col min="1" max="1" width="43.42578125" bestFit="1" customWidth="1"/>
    <col min="2" max="2" width="14.7109375" bestFit="1" customWidth="1"/>
    <col min="3" max="3" width="17.7109375" customWidth="1"/>
    <col min="4" max="4" width="14.7109375" bestFit="1" customWidth="1"/>
    <col min="5" max="5" width="16.85546875" bestFit="1" customWidth="1"/>
    <col min="6" max="6" width="17.7109375" bestFit="1" customWidth="1"/>
    <col min="7" max="7" width="15.140625" bestFit="1" customWidth="1"/>
    <col min="8" max="8" width="16.85546875" bestFit="1" customWidth="1"/>
  </cols>
  <sheetData>
    <row r="1" spans="1:8" x14ac:dyDescent="0.25">
      <c r="A1" s="9" t="s">
        <v>0</v>
      </c>
      <c r="B1" s="9"/>
      <c r="C1" s="9"/>
      <c r="D1" s="9"/>
      <c r="E1" s="9"/>
      <c r="F1" s="9"/>
      <c r="G1" s="9"/>
      <c r="H1" s="9"/>
    </row>
    <row r="2" spans="1:8" x14ac:dyDescent="0.25">
      <c r="A2" s="9" t="s">
        <v>1</v>
      </c>
      <c r="B2" s="9"/>
      <c r="C2" s="9"/>
      <c r="D2" s="9"/>
      <c r="E2" s="9"/>
      <c r="F2" s="9"/>
      <c r="G2" s="9"/>
      <c r="H2" s="9"/>
    </row>
    <row r="3" spans="1:8" x14ac:dyDescent="0.25">
      <c r="A3" s="9" t="str">
        <f>CONCATENATE("Appraisal Year ",TEXT(YEARLY_DATES!B1,"yyyy"))</f>
        <v>Appraisal Year 2024</v>
      </c>
      <c r="B3" s="9"/>
      <c r="C3" s="9"/>
      <c r="D3" s="9"/>
      <c r="E3" s="9"/>
      <c r="F3" s="9"/>
      <c r="G3" s="9"/>
      <c r="H3" s="9"/>
    </row>
    <row r="4" spans="1:8" x14ac:dyDescent="0.25">
      <c r="B4" s="3"/>
      <c r="C4" s="3"/>
      <c r="D4" s="3"/>
      <c r="E4" s="4" t="s">
        <v>6</v>
      </c>
      <c r="F4" s="3"/>
      <c r="G4" s="3"/>
      <c r="H4" s="4" t="s">
        <v>7</v>
      </c>
    </row>
    <row r="5" spans="1:8" x14ac:dyDescent="0.25">
      <c r="B5" s="4" t="s">
        <v>8</v>
      </c>
      <c r="C5" s="4" t="s">
        <v>8</v>
      </c>
      <c r="D5" s="4" t="s">
        <v>9</v>
      </c>
      <c r="E5" s="4" t="s">
        <v>10</v>
      </c>
      <c r="F5" s="4" t="s">
        <v>8</v>
      </c>
      <c r="G5" s="4" t="s">
        <v>9</v>
      </c>
      <c r="H5" s="4" t="s">
        <v>10</v>
      </c>
    </row>
    <row r="6" spans="1:8" ht="15.75" thickBot="1" x14ac:dyDescent="0.3">
      <c r="A6" s="1" t="s">
        <v>11</v>
      </c>
      <c r="B6" s="5" t="s">
        <v>12</v>
      </c>
      <c r="C6" s="5" t="s">
        <v>6</v>
      </c>
      <c r="D6" s="5" t="s">
        <v>6</v>
      </c>
      <c r="E6" s="5" t="s">
        <v>13</v>
      </c>
      <c r="F6" s="5" t="s">
        <v>7</v>
      </c>
      <c r="G6" s="5" t="s">
        <v>7</v>
      </c>
      <c r="H6" s="5" t="s">
        <v>13</v>
      </c>
    </row>
    <row r="7" spans="1:8" x14ac:dyDescent="0.25">
      <c r="B7" s="3"/>
      <c r="C7" s="3"/>
      <c r="D7" s="3"/>
      <c r="E7" s="3"/>
      <c r="F7" s="3"/>
      <c r="G7" s="3"/>
      <c r="H7" s="3"/>
    </row>
    <row r="8" spans="1:8" ht="15.75" x14ac:dyDescent="0.25">
      <c r="A8" s="2" t="s">
        <v>2</v>
      </c>
      <c r="B8" s="3"/>
      <c r="C8" s="3"/>
      <c r="D8" s="3"/>
      <c r="E8" s="3"/>
      <c r="F8" s="3"/>
      <c r="G8" s="3"/>
      <c r="H8" s="3"/>
    </row>
    <row r="9" spans="1:8" x14ac:dyDescent="0.25">
      <c r="A9" t="s">
        <v>14</v>
      </c>
      <c r="B9" s="3">
        <f>VLOOKUP(UPPER($A9),avg_sfr[],2,FALSE)</f>
        <v>544632</v>
      </c>
      <c r="C9" s="3">
        <f>VLOOKUP(UPPER($A9),avg_sfr[],3,FALSE)</f>
        <v>257186740060</v>
      </c>
      <c r="D9" s="3">
        <f>VLOOKUP(UPPER($A9),avg_sfr[],6,FALSE)</f>
        <v>472221.132912</v>
      </c>
      <c r="E9" s="6">
        <f>VLOOKUP(UPPER($A9),avg_sfr[],5,FALSE)</f>
        <v>0.16278500000000001</v>
      </c>
      <c r="F9" s="3">
        <f>VLOOKUP(UPPER($A9),avg_sfr[],8,FALSE)</f>
        <v>176685825099</v>
      </c>
      <c r="G9" s="3">
        <f>VLOOKUP(UPPER($A9),avg_sfr[],11,FALSE)</f>
        <v>324413.22779999999</v>
      </c>
      <c r="H9" s="8" t="str">
        <f>VLOOKUP(UPPER($A9),avg_sfr[],10,FALSE)</f>
        <v>0.1456</v>
      </c>
    </row>
    <row r="10" spans="1:8" x14ac:dyDescent="0.25">
      <c r="A10" t="s">
        <v>63</v>
      </c>
      <c r="B10" s="3">
        <f>VLOOKUP(UPPER($A10),avg_sfr[],2,FALSE)</f>
        <v>544632</v>
      </c>
      <c r="C10" s="3">
        <f>VLOOKUP(UPPER($A10),avg_sfr[],3,FALSE)</f>
        <v>257186740060</v>
      </c>
      <c r="D10" s="3">
        <f>VLOOKUP(UPPER($A10),avg_sfr[],6,FALSE)</f>
        <v>472221.132912</v>
      </c>
      <c r="E10" s="6">
        <f>VLOOKUP(UPPER($A10),avg_sfr[],5,FALSE)</f>
        <v>0.16278500000000001</v>
      </c>
      <c r="F10" s="3">
        <f>VLOOKUP(UPPER($A10),avg_sfr[],8,FALSE)</f>
        <v>176685954999</v>
      </c>
      <c r="G10" s="3">
        <f>VLOOKUP(UPPER($A10),avg_sfr[],11,FALSE)</f>
        <v>324413.46629999997</v>
      </c>
      <c r="H10" s="8" t="str">
        <f>VLOOKUP(UPPER($A10),avg_sfr[],10,FALSE)</f>
        <v>0.1456</v>
      </c>
    </row>
    <row r="11" spans="1:8" x14ac:dyDescent="0.25">
      <c r="A11" t="s">
        <v>15</v>
      </c>
      <c r="B11" s="3">
        <f>VLOOKUP(UPPER($A11),avg_sfr[],2,FALSE)</f>
        <v>544632</v>
      </c>
      <c r="C11" s="3">
        <f>VLOOKUP(UPPER($A11),avg_sfr[],3,FALSE)</f>
        <v>257186740060</v>
      </c>
      <c r="D11" s="3">
        <f>VLOOKUP(UPPER($A11),avg_sfr[],6,FALSE)</f>
        <v>472221.132912</v>
      </c>
      <c r="E11" s="6">
        <f>VLOOKUP(UPPER($A11),avg_sfr[],5,FALSE)</f>
        <v>0.16278500000000001</v>
      </c>
      <c r="F11" s="3">
        <f>VLOOKUP(UPPER($A11),avg_sfr[],8,FALSE)</f>
        <v>176685954999</v>
      </c>
      <c r="G11" s="3">
        <f>VLOOKUP(UPPER($A11),avg_sfr[],11,FALSE)</f>
        <v>324413.46629999997</v>
      </c>
      <c r="H11" s="8" t="str">
        <f>VLOOKUP(UPPER($A11),avg_sfr[],10,FALSE)</f>
        <v>0.1456</v>
      </c>
    </row>
    <row r="12" spans="1:8" x14ac:dyDescent="0.25">
      <c r="B12" s="3"/>
      <c r="C12" s="3"/>
      <c r="D12" s="3"/>
      <c r="E12" s="6"/>
      <c r="F12" s="3"/>
      <c r="G12" s="3"/>
      <c r="H12" s="8"/>
    </row>
    <row r="13" spans="1:8" ht="15.75" x14ac:dyDescent="0.25">
      <c r="A13" s="2" t="s">
        <v>3</v>
      </c>
      <c r="B13" s="3"/>
      <c r="C13" s="3"/>
      <c r="D13" s="3"/>
      <c r="E13" s="6"/>
      <c r="F13" s="3"/>
      <c r="G13" s="3"/>
      <c r="H13" s="8"/>
    </row>
    <row r="14" spans="1:8" x14ac:dyDescent="0.25">
      <c r="A14" t="s">
        <v>16</v>
      </c>
      <c r="B14" s="3">
        <f>VLOOKUP(UPPER($A14),avg_sfr[],2,FALSE)</f>
        <v>20861</v>
      </c>
      <c r="C14" s="3">
        <f>VLOOKUP(UPPER($A14),avg_sfr[],3,FALSE)</f>
        <v>9874085150</v>
      </c>
      <c r="D14" s="3">
        <f>VLOOKUP(UPPER($A14),avg_sfr[],6,FALSE)</f>
        <v>473327.50826899998</v>
      </c>
      <c r="E14" s="6">
        <f>VLOOKUP(UPPER($A14),avg_sfr[],5,FALSE)</f>
        <v>0.14655000000000001</v>
      </c>
      <c r="F14" s="3">
        <f>VLOOKUP(UPPER($A14),avg_sfr[],8,FALSE)</f>
        <v>7203553182</v>
      </c>
      <c r="G14" s="3">
        <f>VLOOKUP(UPPER($A14),avg_sfr[],11,FALSE)</f>
        <v>345311.97840000002</v>
      </c>
      <c r="H14" s="8" t="str">
        <f>VLOOKUP(UPPER($A14),avg_sfr[],10,FALSE)</f>
        <v>0.1558</v>
      </c>
    </row>
    <row r="15" spans="1:8" x14ac:dyDescent="0.25">
      <c r="A15" t="s">
        <v>17</v>
      </c>
      <c r="B15" s="3">
        <f>VLOOKUP(UPPER($A15),avg_sfr[],2,FALSE)</f>
        <v>14715</v>
      </c>
      <c r="C15" s="3">
        <f>VLOOKUP(UPPER($A15),avg_sfr[],3,FALSE)</f>
        <v>5441014910</v>
      </c>
      <c r="D15" s="3">
        <f>VLOOKUP(UPPER($A15),avg_sfr[],6,FALSE)</f>
        <v>369759.762827</v>
      </c>
      <c r="E15" s="6">
        <f>VLOOKUP(UPPER($A15),avg_sfr[],5,FALSE)</f>
        <v>0.13006899999999999</v>
      </c>
      <c r="F15" s="3">
        <f>VLOOKUP(UPPER($A15),avg_sfr[],8,FALSE)</f>
        <v>3684462225</v>
      </c>
      <c r="G15" s="3">
        <f>VLOOKUP(UPPER($A15),avg_sfr[],11,FALSE)</f>
        <v>250388.1906</v>
      </c>
      <c r="H15" s="8" t="str">
        <f>VLOOKUP(UPPER($A15),avg_sfr[],10,FALSE)</f>
        <v>0.1555</v>
      </c>
    </row>
    <row r="16" spans="1:8" x14ac:dyDescent="0.25">
      <c r="A16" t="s">
        <v>18</v>
      </c>
      <c r="B16" s="3">
        <f>VLOOKUP(UPPER($A16),avg_sfr[],2,FALSE)</f>
        <v>14653</v>
      </c>
      <c r="C16" s="3">
        <f>VLOOKUP(UPPER($A16),avg_sfr[],3,FALSE)</f>
        <v>9752741640</v>
      </c>
      <c r="D16" s="3">
        <f>VLOOKUP(UPPER($A16),avg_sfr[],6,FALSE)</f>
        <v>665579.85668500001</v>
      </c>
      <c r="E16" s="6">
        <f>VLOOKUP(UPPER($A16),avg_sfr[],5,FALSE)</f>
        <v>0.12712499999999999</v>
      </c>
      <c r="F16" s="3">
        <f>VLOOKUP(UPPER($A16),avg_sfr[],8,FALSE)</f>
        <v>7525830961</v>
      </c>
      <c r="G16" s="3">
        <f>VLOOKUP(UPPER($A16),avg_sfr[],11,FALSE)</f>
        <v>513603.42330000002</v>
      </c>
      <c r="H16" s="8" t="str">
        <f>VLOOKUP(UPPER($A16),avg_sfr[],10,FALSE)</f>
        <v>0.1316</v>
      </c>
    </row>
    <row r="17" spans="1:8" x14ac:dyDescent="0.25">
      <c r="A17" t="s">
        <v>19</v>
      </c>
      <c r="B17" s="3">
        <f>VLOOKUP(UPPER($A17),avg_sfr[],2,FALSE)</f>
        <v>206188</v>
      </c>
      <c r="C17" s="3">
        <f>VLOOKUP(UPPER($A17),avg_sfr[],3,FALSE)</f>
        <v>102631708740</v>
      </c>
      <c r="D17" s="3">
        <f>VLOOKUP(UPPER($A17),avg_sfr[],6,FALSE)</f>
        <v>497757.91384599998</v>
      </c>
      <c r="E17" s="6">
        <f>VLOOKUP(UPPER($A17),avg_sfr[],5,FALSE)</f>
        <v>0.19194900000000001</v>
      </c>
      <c r="F17" s="3">
        <f>VLOOKUP(UPPER($A17),avg_sfr[],8,FALSE)</f>
        <v>67445245279</v>
      </c>
      <c r="G17" s="3">
        <f>VLOOKUP(UPPER($A17),avg_sfr[],11,FALSE)</f>
        <v>327105.57980000001</v>
      </c>
      <c r="H17" s="8" t="str">
        <f>VLOOKUP(UPPER($A17),avg_sfr[],10,FALSE)</f>
        <v>0.1687</v>
      </c>
    </row>
    <row r="18" spans="1:8" x14ac:dyDescent="0.25">
      <c r="A18" t="s">
        <v>20</v>
      </c>
      <c r="B18" s="3">
        <f>VLOOKUP(UPPER($A18),avg_sfr[],2,FALSE)</f>
        <v>18168</v>
      </c>
      <c r="C18" s="3">
        <f>VLOOKUP(UPPER($A18),avg_sfr[],3,FALSE)</f>
        <v>6222505750</v>
      </c>
      <c r="D18" s="3">
        <f>VLOOKUP(UPPER($A18),avg_sfr[],6,FALSE)</f>
        <v>342498.11481699999</v>
      </c>
      <c r="E18" s="6">
        <f>VLOOKUP(UPPER($A18),avg_sfr[],5,FALSE)</f>
        <v>0.12588299999999999</v>
      </c>
      <c r="F18" s="3">
        <f>VLOOKUP(UPPER($A18),avg_sfr[],8,FALSE)</f>
        <v>3991959257</v>
      </c>
      <c r="G18" s="3">
        <f>VLOOKUP(UPPER($A18),avg_sfr[],11,FALSE)</f>
        <v>219724.7499</v>
      </c>
      <c r="H18" s="8" t="str">
        <f>VLOOKUP(UPPER($A18),avg_sfr[],10,FALSE)</f>
        <v>0.1828</v>
      </c>
    </row>
    <row r="19" spans="1:8" x14ac:dyDescent="0.25">
      <c r="A19" t="s">
        <v>21</v>
      </c>
      <c r="B19" s="3">
        <f>VLOOKUP(UPPER($A19),avg_sfr[],2,FALSE)</f>
        <v>19139</v>
      </c>
      <c r="C19" s="3">
        <f>VLOOKUP(UPPER($A19),avg_sfr[],3,FALSE)</f>
        <v>6129031560</v>
      </c>
      <c r="D19" s="3">
        <f>VLOOKUP(UPPER($A19),avg_sfr[],6,FALSE)</f>
        <v>320237.815978</v>
      </c>
      <c r="E19" s="6">
        <f>VLOOKUP(UPPER($A19),avg_sfr[],5,FALSE)</f>
        <v>0.151194</v>
      </c>
      <c r="F19" s="3">
        <f>VLOOKUP(UPPER($A19),avg_sfr[],8,FALSE)</f>
        <v>3853287006</v>
      </c>
      <c r="G19" s="3">
        <f>VLOOKUP(UPPER($A19),avg_sfr[],11,FALSE)</f>
        <v>201331.67910000001</v>
      </c>
      <c r="H19" s="8" t="str">
        <f>VLOOKUP(UPPER($A19),avg_sfr[],10,FALSE)</f>
        <v>0.1803</v>
      </c>
    </row>
    <row r="20" spans="1:8" x14ac:dyDescent="0.25">
      <c r="A20" t="s">
        <v>22</v>
      </c>
      <c r="B20" s="3">
        <f>VLOOKUP(UPPER($A20),avg_sfr[],2,FALSE)</f>
        <v>46</v>
      </c>
      <c r="C20" s="3">
        <f>VLOOKUP(UPPER($A20),avg_sfr[],3,FALSE)</f>
        <v>5512460</v>
      </c>
      <c r="D20" s="3">
        <f>VLOOKUP(UPPER($A20),avg_sfr[],6,FALSE)</f>
        <v>119836.08695700001</v>
      </c>
      <c r="E20" s="6">
        <f>VLOOKUP(UPPER($A20),avg_sfr[],5,FALSE)</f>
        <v>0.27899299999999999</v>
      </c>
      <c r="F20" s="3">
        <f>VLOOKUP(UPPER($A20),avg_sfr[],8,FALSE)</f>
        <v>3059057</v>
      </c>
      <c r="G20" s="3">
        <f>VLOOKUP(UPPER($A20),avg_sfr[],11,FALSE)</f>
        <v>66501.239100000006</v>
      </c>
      <c r="H20" s="8" t="str">
        <f>VLOOKUP(UPPER($A20),avg_sfr[],10,FALSE)</f>
        <v>0.2155</v>
      </c>
    </row>
    <row r="21" spans="1:8" x14ac:dyDescent="0.25">
      <c r="A21" t="s">
        <v>23</v>
      </c>
      <c r="B21" s="3">
        <f>VLOOKUP(UPPER($A21),avg_sfr[],2,FALSE)</f>
        <v>79336</v>
      </c>
      <c r="C21" s="3">
        <f>VLOOKUP(UPPER($A21),avg_sfr[],3,FALSE)</f>
        <v>27950503260</v>
      </c>
      <c r="D21" s="3">
        <f>VLOOKUP(UPPER($A21),avg_sfr[],6,FALSE)</f>
        <v>352305.42578400002</v>
      </c>
      <c r="E21" s="6">
        <f>VLOOKUP(UPPER($A21),avg_sfr[],5,FALSE)</f>
        <v>0.13697300000000001</v>
      </c>
      <c r="F21" s="3">
        <f>VLOOKUP(UPPER($A21),avg_sfr[],8,FALSE)</f>
        <v>19304556656</v>
      </c>
      <c r="G21" s="3">
        <f>VLOOKUP(UPPER($A21),avg_sfr[],11,FALSE)</f>
        <v>243326.5687</v>
      </c>
      <c r="H21" s="8" t="str">
        <f>VLOOKUP(UPPER($A21),avg_sfr[],10,FALSE)</f>
        <v>0.1728</v>
      </c>
    </row>
    <row r="22" spans="1:8" x14ac:dyDescent="0.25">
      <c r="A22" t="s">
        <v>24</v>
      </c>
      <c r="B22" s="3">
        <f>VLOOKUP(UPPER($A22),avg_sfr[],2,FALSE)</f>
        <v>28121</v>
      </c>
      <c r="C22" s="3">
        <f>VLOOKUP(UPPER($A22),avg_sfr[],3,FALSE)</f>
        <v>8164418130</v>
      </c>
      <c r="D22" s="3">
        <f>VLOOKUP(UPPER($A22),avg_sfr[],6,FALSE)</f>
        <v>290331.71402199997</v>
      </c>
      <c r="E22" s="6">
        <f>VLOOKUP(UPPER($A22),avg_sfr[],5,FALSE)</f>
        <v>9.7364999999999993E-2</v>
      </c>
      <c r="F22" s="3">
        <f>VLOOKUP(UPPER($A22),avg_sfr[],8,FALSE)</f>
        <v>5398753110</v>
      </c>
      <c r="G22" s="3">
        <f>VLOOKUP(UPPER($A22),avg_sfr[],11,FALSE)</f>
        <v>191982.97039999999</v>
      </c>
      <c r="H22" s="8" t="str">
        <f>VLOOKUP(UPPER($A22),avg_sfr[],10,FALSE)</f>
        <v>0.1568</v>
      </c>
    </row>
    <row r="23" spans="1:8" x14ac:dyDescent="0.25">
      <c r="A23" t="s">
        <v>25</v>
      </c>
      <c r="B23" s="3">
        <f>VLOOKUP(UPPER($A23),avg_sfr[],2,FALSE)</f>
        <v>8331</v>
      </c>
      <c r="C23" s="3">
        <f>VLOOKUP(UPPER($A23),avg_sfr[],3,FALSE)</f>
        <v>27623925380</v>
      </c>
      <c r="D23" s="3">
        <f>VLOOKUP(UPPER($A23),avg_sfr[],6,FALSE)</f>
        <v>3315799.469451</v>
      </c>
      <c r="E23" s="6">
        <f>VLOOKUP(UPPER($A23),avg_sfr[],5,FALSE)</f>
        <v>0.15589600000000001</v>
      </c>
      <c r="F23" s="3">
        <f>VLOOKUP(UPPER($A23),avg_sfr[],8,FALSE)</f>
        <v>18341231234</v>
      </c>
      <c r="G23" s="3">
        <f>VLOOKUP(UPPER($A23),avg_sfr[],11,FALSE)</f>
        <v>2201564.1861</v>
      </c>
      <c r="H23" s="8" t="str">
        <f>VLOOKUP(UPPER($A23),avg_sfr[],10,FALSE)</f>
        <v>0.1240</v>
      </c>
    </row>
    <row r="24" spans="1:8" x14ac:dyDescent="0.25">
      <c r="A24" t="s">
        <v>26</v>
      </c>
      <c r="B24" s="3">
        <f>VLOOKUP(UPPER($A24),avg_sfr[],2,FALSE)</f>
        <v>29693</v>
      </c>
      <c r="C24" s="3">
        <f>VLOOKUP(UPPER($A24),avg_sfr[],3,FALSE)</f>
        <v>10271273210</v>
      </c>
      <c r="D24" s="3">
        <f>VLOOKUP(UPPER($A24),avg_sfr[],6,FALSE)</f>
        <v>345915.64375400002</v>
      </c>
      <c r="E24" s="6">
        <f>VLOOKUP(UPPER($A24),avg_sfr[],5,FALSE)</f>
        <v>0.173517</v>
      </c>
      <c r="F24" s="3">
        <f>VLOOKUP(UPPER($A24),avg_sfr[],8,FALSE)</f>
        <v>6898147737</v>
      </c>
      <c r="G24" s="3">
        <f>VLOOKUP(UPPER($A24),avg_sfr[],11,FALSE)</f>
        <v>232315.62109999999</v>
      </c>
      <c r="H24" s="8" t="str">
        <f>VLOOKUP(UPPER($A24),avg_sfr[],10,FALSE)</f>
        <v>0.1753</v>
      </c>
    </row>
    <row r="25" spans="1:8" x14ac:dyDescent="0.25">
      <c r="A25" t="s">
        <v>27</v>
      </c>
      <c r="B25" s="3">
        <f>VLOOKUP(UPPER($A25),avg_sfr[],2,FALSE)</f>
        <v>12292</v>
      </c>
      <c r="C25" s="3">
        <f>VLOOKUP(UPPER($A25),avg_sfr[],3,FALSE)</f>
        <v>3505317320</v>
      </c>
      <c r="D25" s="3">
        <f>VLOOKUP(UPPER($A25),avg_sfr[],6,FALSE)</f>
        <v>285170.62479700003</v>
      </c>
      <c r="E25" s="6">
        <f>VLOOKUP(UPPER($A25),avg_sfr[],5,FALSE)</f>
        <v>0.10128</v>
      </c>
      <c r="F25" s="3">
        <f>VLOOKUP(UPPER($A25),avg_sfr[],8,FALSE)</f>
        <v>2204862116</v>
      </c>
      <c r="G25" s="3">
        <f>VLOOKUP(UPPER($A25),avg_sfr[],11,FALSE)</f>
        <v>179373.74849999999</v>
      </c>
      <c r="H25" s="8" t="str">
        <f>VLOOKUP(UPPER($A25),avg_sfr[],10,FALSE)</f>
        <v>0.1514</v>
      </c>
    </row>
    <row r="26" spans="1:8" x14ac:dyDescent="0.25">
      <c r="A26" t="s">
        <v>64</v>
      </c>
      <c r="B26" s="3">
        <f>VLOOKUP(UPPER($A26),avg_sfr[],2,FALSE)</f>
        <v>43619</v>
      </c>
      <c r="C26" s="3">
        <f>VLOOKUP(UPPER($A26),avg_sfr[],3,FALSE)</f>
        <v>12109407640</v>
      </c>
      <c r="D26" s="3">
        <f>VLOOKUP(UPPER($A26),avg_sfr[],6,FALSE)</f>
        <v>277617.72713700001</v>
      </c>
      <c r="E26" s="6">
        <f>VLOOKUP(UPPER($A26),avg_sfr[],5,FALSE)</f>
        <v>0.17116999999999999</v>
      </c>
      <c r="F26" s="3">
        <f>VLOOKUP(UPPER($A26),avg_sfr[],8,FALSE)</f>
        <v>8031196709</v>
      </c>
      <c r="G26" s="3">
        <f>VLOOKUP(UPPER($A26),avg_sfr[],11,FALSE)</f>
        <v>184121.52290000001</v>
      </c>
      <c r="H26" s="8" t="str">
        <f>VLOOKUP(UPPER($A26),avg_sfr[],10,FALSE)</f>
        <v>0.1991</v>
      </c>
    </row>
    <row r="27" spans="1:8" x14ac:dyDescent="0.25">
      <c r="A27" t="s">
        <v>28</v>
      </c>
      <c r="B27" s="3">
        <f>VLOOKUP(UPPER($A27),avg_sfr[],2,FALSE)</f>
        <v>46722</v>
      </c>
      <c r="C27" s="3">
        <f>VLOOKUP(UPPER($A27),avg_sfr[],3,FALSE)</f>
        <v>25711145790</v>
      </c>
      <c r="D27" s="3">
        <f>VLOOKUP(UPPER($A27),avg_sfr[],6,FALSE)</f>
        <v>550300.62475900003</v>
      </c>
      <c r="E27" s="6">
        <f>VLOOKUP(UPPER($A27),avg_sfr[],5,FALSE)</f>
        <v>0.15167700000000001</v>
      </c>
      <c r="F27" s="3">
        <f>VLOOKUP(UPPER($A27),avg_sfr[],8,FALSE)</f>
        <v>17276827900</v>
      </c>
      <c r="G27" s="3">
        <f>VLOOKUP(UPPER($A27),avg_sfr[],11,FALSE)</f>
        <v>369779.28810000001</v>
      </c>
      <c r="H27" s="8" t="str">
        <f>VLOOKUP(UPPER($A27),avg_sfr[],10,FALSE)</f>
        <v>0.1592</v>
      </c>
    </row>
    <row r="28" spans="1:8" x14ac:dyDescent="0.25">
      <c r="A28" t="s">
        <v>29</v>
      </c>
      <c r="B28" s="3">
        <f>VLOOKUP(UPPER($A28),avg_sfr[],2,FALSE)</f>
        <v>2748</v>
      </c>
      <c r="C28" s="3">
        <f>VLOOKUP(UPPER($A28),avg_sfr[],3,FALSE)</f>
        <v>1794149120</v>
      </c>
      <c r="D28" s="3">
        <f>VLOOKUP(UPPER($A28),avg_sfr[],6,FALSE)</f>
        <v>652892.69286800001</v>
      </c>
      <c r="E28" s="6">
        <f>VLOOKUP(UPPER($A28),avg_sfr[],5,FALSE)</f>
        <v>0.106562</v>
      </c>
      <c r="F28" s="3">
        <f>VLOOKUP(UPPER($A28),avg_sfr[],8,FALSE)</f>
        <v>1357313034</v>
      </c>
      <c r="G28" s="3">
        <f>VLOOKUP(UPPER($A28),avg_sfr[],11,FALSE)</f>
        <v>493927.59610000002</v>
      </c>
      <c r="H28" s="8" t="str">
        <f>VLOOKUP(UPPER($A28),avg_sfr[],10,FALSE)</f>
        <v>0.1584</v>
      </c>
    </row>
    <row r="29" spans="1:8" x14ac:dyDescent="0.25">
      <c r="B29" s="3"/>
      <c r="C29" s="3"/>
      <c r="D29" s="3"/>
      <c r="E29" s="6"/>
      <c r="F29" s="3"/>
      <c r="G29" s="3"/>
      <c r="H29" s="8"/>
    </row>
    <row r="30" spans="1:8" ht="15.75" x14ac:dyDescent="0.25">
      <c r="A30" s="2" t="s">
        <v>4</v>
      </c>
      <c r="B30" s="3"/>
      <c r="C30" s="3"/>
      <c r="D30" s="3"/>
      <c r="E30" s="6"/>
      <c r="F30" s="3"/>
      <c r="G30" s="3"/>
      <c r="H30" s="8"/>
    </row>
    <row r="31" spans="1:8" x14ac:dyDescent="0.25">
      <c r="A31" t="s">
        <v>65</v>
      </c>
      <c r="B31" s="3">
        <f>VLOOKUP(UPPER($A31),avg_sfr[],2,FALSE)</f>
        <v>104</v>
      </c>
      <c r="C31" s="3">
        <f>VLOOKUP(UPPER($A31),avg_sfr[],3,FALSE)</f>
        <v>54546090</v>
      </c>
      <c r="D31" s="3">
        <f>VLOOKUP(UPPER($A31),avg_sfr[],6,FALSE)</f>
        <v>524481.63461499999</v>
      </c>
      <c r="E31" s="6">
        <f>VLOOKUP(UPPER($A31),avg_sfr[],5,FALSE)</f>
        <v>0.38068099999999999</v>
      </c>
      <c r="F31" s="3">
        <f>VLOOKUP(UPPER($A31),avg_sfr[],8,FALSE)</f>
        <v>43915799</v>
      </c>
      <c r="G31" s="3">
        <f>VLOOKUP(UPPER($A31),avg_sfr[],11,FALSE)</f>
        <v>422267.29810000001</v>
      </c>
      <c r="H31" s="8" t="str">
        <f>VLOOKUP(UPPER($A31),avg_sfr[],10,FALSE)</f>
        <v>0.3419</v>
      </c>
    </row>
    <row r="32" spans="1:8" x14ac:dyDescent="0.25">
      <c r="A32" t="s">
        <v>69</v>
      </c>
      <c r="B32" s="3">
        <f>VLOOKUP(UPPER($A32),avg_sfr[],2,FALSE)</f>
        <v>277</v>
      </c>
      <c r="C32" s="3">
        <f>VLOOKUP(UPPER($A32),avg_sfr[],3,FALSE)</f>
        <v>102639050</v>
      </c>
      <c r="D32" s="3">
        <f>VLOOKUP(UPPER($A32),avg_sfr[],6,FALSE)</f>
        <v>370538.08664300002</v>
      </c>
      <c r="E32" s="6">
        <f>VLOOKUP(UPPER($A32),avg_sfr[],5,FALSE)</f>
        <v>8.9795960000000008</v>
      </c>
      <c r="F32" s="3">
        <f>VLOOKUP(UPPER($A32),avg_sfr[],8,FALSE)</f>
        <v>102007502</v>
      </c>
      <c r="G32" s="3">
        <f>VLOOKUP(UPPER($A32),avg_sfr[],11,FALSE)</f>
        <v>368258.13</v>
      </c>
      <c r="H32" s="8" t="str">
        <f>VLOOKUP(UPPER($A32),avg_sfr[],10,FALSE)</f>
        <v>8.9182</v>
      </c>
    </row>
    <row r="33" spans="1:8" x14ac:dyDescent="0.25">
      <c r="A33" t="s">
        <v>30</v>
      </c>
      <c r="B33" s="3">
        <f>VLOOKUP(UPPER($A33),avg_sfr[],2,FALSE)</f>
        <v>1634</v>
      </c>
      <c r="C33" s="3">
        <f>VLOOKUP(UPPER($A33),avg_sfr[],3,FALSE)</f>
        <v>1260231490</v>
      </c>
      <c r="D33" s="3">
        <f>VLOOKUP(UPPER($A33),avg_sfr[],6,FALSE)</f>
        <v>771255.50183600001</v>
      </c>
      <c r="E33" s="6">
        <f>VLOOKUP(UPPER($A33),avg_sfr[],5,FALSE)</f>
        <v>0.12852</v>
      </c>
      <c r="F33" s="3">
        <f>VLOOKUP(UPPER($A33),avg_sfr[],8,FALSE)</f>
        <v>1128197043</v>
      </c>
      <c r="G33" s="3">
        <f>VLOOKUP(UPPER($A33),avg_sfr[],11,FALSE)</f>
        <v>690451.06669999997</v>
      </c>
      <c r="H33" s="8" t="str">
        <f>VLOOKUP(UPPER($A33),avg_sfr[],10,FALSE)</f>
        <v>0.1194</v>
      </c>
    </row>
    <row r="34" spans="1:8" x14ac:dyDescent="0.25">
      <c r="A34" t="s">
        <v>66</v>
      </c>
      <c r="B34" s="3">
        <f>VLOOKUP(UPPER($A34),avg_sfr[],2,FALSE)</f>
        <v>47</v>
      </c>
      <c r="C34" s="3">
        <f>VLOOKUP(UPPER($A34),avg_sfr[],3,FALSE)</f>
        <v>42002330</v>
      </c>
      <c r="D34" s="3">
        <f>VLOOKUP(UPPER($A34),avg_sfr[],6,FALSE)</f>
        <v>893666.59574500006</v>
      </c>
      <c r="E34" s="6">
        <f>VLOOKUP(UPPER($A34),avg_sfr[],5,FALSE)</f>
        <v>-8.7299999999999999E-3</v>
      </c>
      <c r="F34" s="3">
        <f>VLOOKUP(UPPER($A34),avg_sfr[],8,FALSE)</f>
        <v>31301188</v>
      </c>
      <c r="G34" s="3">
        <f>VLOOKUP(UPPER($A34),avg_sfr[],11,FALSE)</f>
        <v>665982.72340000002</v>
      </c>
      <c r="H34" s="8" t="str">
        <f>VLOOKUP(UPPER($A34),avg_sfr[],10,FALSE)</f>
        <v>0.1002</v>
      </c>
    </row>
    <row r="35" spans="1:8" x14ac:dyDescent="0.25">
      <c r="A35" t="s">
        <v>67</v>
      </c>
      <c r="B35" s="3">
        <f>VLOOKUP(UPPER($A35),avg_sfr[],2,FALSE)</f>
        <v>300</v>
      </c>
      <c r="C35" s="3">
        <f>VLOOKUP(UPPER($A35),avg_sfr[],3,FALSE)</f>
        <v>185213370</v>
      </c>
      <c r="D35" s="3">
        <f>VLOOKUP(UPPER($A35),avg_sfr[],6,FALSE)</f>
        <v>617377.9</v>
      </c>
      <c r="E35" s="6">
        <f>VLOOKUP(UPPER($A35),avg_sfr[],5,FALSE)</f>
        <v>8.5291000000000006E-2</v>
      </c>
      <c r="F35" s="3">
        <f>VLOOKUP(UPPER($A35),avg_sfr[],8,FALSE)</f>
        <v>146023838</v>
      </c>
      <c r="G35" s="3">
        <f>VLOOKUP(UPPER($A35),avg_sfr[],11,FALSE)</f>
        <v>486746.12670000002</v>
      </c>
      <c r="H35" s="8" t="str">
        <f>VLOOKUP(UPPER($A35),avg_sfr[],10,FALSE)</f>
        <v>0.1214</v>
      </c>
    </row>
    <row r="36" spans="1:8" x14ac:dyDescent="0.25">
      <c r="A36" t="s">
        <v>31</v>
      </c>
      <c r="B36" s="3">
        <f>VLOOKUP(UPPER($A36),avg_sfr[],2,FALSE)</f>
        <v>4069</v>
      </c>
      <c r="C36" s="3">
        <f>VLOOKUP(UPPER($A36),avg_sfr[],3,FALSE)</f>
        <v>2187836140</v>
      </c>
      <c r="D36" s="3">
        <f>VLOOKUP(UPPER($A36),avg_sfr[],6,FALSE)</f>
        <v>537683.98623699998</v>
      </c>
      <c r="E36" s="6">
        <f>VLOOKUP(UPPER($A36),avg_sfr[],5,FALSE)</f>
        <v>0.157444</v>
      </c>
      <c r="F36" s="3">
        <f>VLOOKUP(UPPER($A36),avg_sfr[],8,FALSE)</f>
        <v>1665771861</v>
      </c>
      <c r="G36" s="3">
        <f>VLOOKUP(UPPER($A36),avg_sfr[],11,FALSE)</f>
        <v>409381.14059999998</v>
      </c>
      <c r="H36" s="8" t="str">
        <f>VLOOKUP(UPPER($A36),avg_sfr[],10,FALSE)</f>
        <v>0.1395</v>
      </c>
    </row>
    <row r="37" spans="1:8" x14ac:dyDescent="0.25">
      <c r="A37" t="s">
        <v>68</v>
      </c>
      <c r="B37" s="3">
        <f>VLOOKUP(UPPER($A37),avg_sfr[],2,FALSE)</f>
        <v>803</v>
      </c>
      <c r="C37" s="3">
        <f>VLOOKUP(UPPER($A37),avg_sfr[],3,FALSE)</f>
        <v>251389550</v>
      </c>
      <c r="D37" s="3">
        <f>VLOOKUP(UPPER($A37),avg_sfr[],6,FALSE)</f>
        <v>313062.95143199997</v>
      </c>
      <c r="E37" s="6">
        <f>VLOOKUP(UPPER($A37),avg_sfr[],5,FALSE)</f>
        <v>0.10309</v>
      </c>
      <c r="F37" s="3">
        <f>VLOOKUP(UPPER($A37),avg_sfr[],8,FALSE)</f>
        <v>228798127</v>
      </c>
      <c r="G37" s="3">
        <f>VLOOKUP(UPPER($A37),avg_sfr[],11,FALSE)</f>
        <v>284929.17430000001</v>
      </c>
      <c r="H37" s="8" t="str">
        <f>VLOOKUP(UPPER($A37),avg_sfr[],10,FALSE)</f>
        <v>0.1079</v>
      </c>
    </row>
    <row r="38" spans="1:8" x14ac:dyDescent="0.25">
      <c r="A38" t="s">
        <v>32</v>
      </c>
      <c r="B38" s="3">
        <f>VLOOKUP(UPPER($A38),avg_sfr[],2,FALSE)</f>
        <v>838</v>
      </c>
      <c r="C38" s="3">
        <f>VLOOKUP(UPPER($A38),avg_sfr[],3,FALSE)</f>
        <v>585703120</v>
      </c>
      <c r="D38" s="3">
        <f>VLOOKUP(UPPER($A38),avg_sfr[],6,FALSE)</f>
        <v>698929.73747000005</v>
      </c>
      <c r="E38" s="6">
        <f>VLOOKUP(UPPER($A38),avg_sfr[],5,FALSE)</f>
        <v>0.10248699999999999</v>
      </c>
      <c r="F38" s="3">
        <f>VLOOKUP(UPPER($A38),avg_sfr[],8,FALSE)</f>
        <v>519675283</v>
      </c>
      <c r="G38" s="3">
        <f>VLOOKUP(UPPER($A38),avg_sfr[],11,FALSE)</f>
        <v>620137.56920000003</v>
      </c>
      <c r="H38" s="8" t="str">
        <f>VLOOKUP(UPPER($A38),avg_sfr[],10,FALSE)</f>
        <v>0.1053</v>
      </c>
    </row>
    <row r="39" spans="1:8" x14ac:dyDescent="0.25">
      <c r="A39" t="s">
        <v>33</v>
      </c>
      <c r="B39" s="3">
        <f>VLOOKUP(UPPER($A39),avg_sfr[],2,FALSE)</f>
        <v>684</v>
      </c>
      <c r="C39" s="3">
        <f>VLOOKUP(UPPER($A39),avg_sfr[],3,FALSE)</f>
        <v>494465050</v>
      </c>
      <c r="D39" s="3">
        <f>VLOOKUP(UPPER($A39),avg_sfr[],6,FALSE)</f>
        <v>722902.11988300004</v>
      </c>
      <c r="E39" s="6">
        <f>VLOOKUP(UPPER($A39),avg_sfr[],5,FALSE)</f>
        <v>0.114291</v>
      </c>
      <c r="F39" s="3">
        <f>VLOOKUP(UPPER($A39),avg_sfr[],8,FALSE)</f>
        <v>461334524</v>
      </c>
      <c r="G39" s="3">
        <f>VLOOKUP(UPPER($A39),avg_sfr[],11,FALSE)</f>
        <v>674465.67839999998</v>
      </c>
      <c r="H39" s="8" t="str">
        <f>VLOOKUP(UPPER($A39),avg_sfr[],10,FALSE)</f>
        <v>0.1085</v>
      </c>
    </row>
    <row r="40" spans="1:8" x14ac:dyDescent="0.25">
      <c r="B40" s="3"/>
      <c r="C40" s="3"/>
      <c r="D40" s="3"/>
      <c r="E40" s="6"/>
      <c r="F40" s="3"/>
      <c r="G40" s="3"/>
      <c r="H40" s="8"/>
    </row>
    <row r="41" spans="1:8" x14ac:dyDescent="0.25">
      <c r="A41" t="str">
        <f>CONCATENATE("* Values from ",TEXT(YEARLY_DATES!$B$1,"mm/dd/yyyy")," Certified Values")</f>
        <v>* Values from 07/25/2024 Certified Values</v>
      </c>
      <c r="B41" s="3"/>
      <c r="C41" s="3"/>
      <c r="D41" s="3"/>
      <c r="E41" s="6"/>
      <c r="F41" s="3"/>
      <c r="G41" s="3"/>
      <c r="H41" s="8"/>
    </row>
    <row r="42" spans="1:8" x14ac:dyDescent="0.25">
      <c r="B42" s="3"/>
      <c r="C42" s="3"/>
      <c r="D42" s="3"/>
      <c r="E42" s="6"/>
      <c r="F42" s="3"/>
      <c r="G42" s="3"/>
      <c r="H42" s="8"/>
    </row>
    <row r="43" spans="1:8" ht="15.75" x14ac:dyDescent="0.25">
      <c r="A43" s="2" t="s">
        <v>5</v>
      </c>
      <c r="B43" s="3"/>
      <c r="C43" s="3"/>
      <c r="D43" s="3"/>
      <c r="E43" s="6"/>
      <c r="F43" s="3"/>
      <c r="G43" s="3"/>
      <c r="H43" s="8"/>
    </row>
    <row r="44" spans="1:8" x14ac:dyDescent="0.25">
      <c r="A44" t="s">
        <v>34</v>
      </c>
      <c r="B44" s="3">
        <f>VLOOKUP(UPPER($A44),avg_sfr[],2,FALSE)</f>
        <v>1390</v>
      </c>
      <c r="C44" s="3">
        <f>VLOOKUP(UPPER($A44),avg_sfr[],3,FALSE)</f>
        <v>928575920</v>
      </c>
      <c r="D44" s="3">
        <f>VLOOKUP(UPPER($A44),avg_sfr[],6,FALSE)</f>
        <v>668040.230216</v>
      </c>
      <c r="E44" s="6">
        <f>VLOOKUP(UPPER($A44),avg_sfr[],5,FALSE)</f>
        <v>0.16578399999999999</v>
      </c>
      <c r="F44" s="3">
        <f>VLOOKUP(UPPER($A44),avg_sfr[],8,FALSE)</f>
        <v>659519591</v>
      </c>
      <c r="G44" s="3">
        <f>VLOOKUP(UPPER($A44),avg_sfr[],11,FALSE)</f>
        <v>474474.52590000001</v>
      </c>
      <c r="H44" s="8" t="str">
        <f>VLOOKUP(UPPER($A44),avg_sfr[],10,FALSE)</f>
        <v>0.1325</v>
      </c>
    </row>
    <row r="45" spans="1:8" x14ac:dyDescent="0.25">
      <c r="A45" t="s">
        <v>35</v>
      </c>
      <c r="B45" s="3">
        <f>VLOOKUP(UPPER($A45),avg_sfr[],2,FALSE)</f>
        <v>6079</v>
      </c>
      <c r="C45" s="3">
        <f>VLOOKUP(UPPER($A45),avg_sfr[],3,FALSE)</f>
        <v>1456263210</v>
      </c>
      <c r="D45" s="3">
        <f>VLOOKUP(UPPER($A45),avg_sfr[],6,FALSE)</f>
        <v>239556.37604900001</v>
      </c>
      <c r="E45" s="6">
        <f>VLOOKUP(UPPER($A45),avg_sfr[],5,FALSE)</f>
        <v>0.20600299999999999</v>
      </c>
      <c r="F45" s="3">
        <f>VLOOKUP(UPPER($A45),avg_sfr[],8,FALSE)</f>
        <v>1162147012</v>
      </c>
      <c r="G45" s="3">
        <f>VLOOKUP(UPPER($A45),avg_sfr[],11,FALSE)</f>
        <v>191174.04380000001</v>
      </c>
      <c r="H45" s="8" t="str">
        <f>VLOOKUP(UPPER($A45),avg_sfr[],10,FALSE)</f>
        <v>0.1755</v>
      </c>
    </row>
    <row r="46" spans="1:8" x14ac:dyDescent="0.25">
      <c r="A46" t="s">
        <v>36</v>
      </c>
      <c r="B46" s="3">
        <f>VLOOKUP(UPPER($A46),avg_sfr[],2,FALSE)</f>
        <v>9608</v>
      </c>
      <c r="C46" s="3">
        <f>VLOOKUP(UPPER($A46),avg_sfr[],3,FALSE)</f>
        <v>3595802130</v>
      </c>
      <c r="D46" s="3">
        <f>VLOOKUP(UPPER($A46),avg_sfr[],6,FALSE)</f>
        <v>374250.84616999998</v>
      </c>
      <c r="E46" s="6">
        <f>VLOOKUP(UPPER($A46),avg_sfr[],5,FALSE)</f>
        <v>0.123878</v>
      </c>
      <c r="F46" s="3">
        <f>VLOOKUP(UPPER($A46),avg_sfr[],8,FALSE)</f>
        <v>2442973845</v>
      </c>
      <c r="G46" s="3">
        <f>VLOOKUP(UPPER($A46),avg_sfr[],11,FALSE)</f>
        <v>254264.5551</v>
      </c>
      <c r="H46" s="8" t="str">
        <f>VLOOKUP(UPPER($A46),avg_sfr[],10,FALSE)</f>
        <v>0.1268</v>
      </c>
    </row>
    <row r="47" spans="1:8" x14ac:dyDescent="0.25">
      <c r="A47" t="s">
        <v>37</v>
      </c>
      <c r="B47" s="3">
        <f>VLOOKUP(UPPER($A47),avg_sfr[],2,FALSE)</f>
        <v>14561</v>
      </c>
      <c r="C47" s="3">
        <f>VLOOKUP(UPPER($A47),avg_sfr[],3,FALSE)</f>
        <v>5304184170</v>
      </c>
      <c r="D47" s="3">
        <f>VLOOKUP(UPPER($A47),avg_sfr[],6,FALSE)</f>
        <v>364273.34455099999</v>
      </c>
      <c r="E47" s="6">
        <f>VLOOKUP(UPPER($A47),avg_sfr[],5,FALSE)</f>
        <v>0.14397799999999999</v>
      </c>
      <c r="F47" s="3">
        <f>VLOOKUP(UPPER($A47),avg_sfr[],8,FALSE)</f>
        <v>4481416089</v>
      </c>
      <c r="G47" s="3">
        <f>VLOOKUP(UPPER($A47),avg_sfr[],11,FALSE)</f>
        <v>307768.42859999998</v>
      </c>
      <c r="H47" s="8" t="str">
        <f>VLOOKUP(UPPER($A47),avg_sfr[],10,FALSE)</f>
        <v>0.1521</v>
      </c>
    </row>
    <row r="48" spans="1:8" x14ac:dyDescent="0.25">
      <c r="A48" t="s">
        <v>38</v>
      </c>
      <c r="B48" s="3">
        <f>VLOOKUP(UPPER($A48),avg_sfr[],2,FALSE)</f>
        <v>811</v>
      </c>
      <c r="C48" s="3">
        <f>VLOOKUP(UPPER($A48),avg_sfr[],3,FALSE)</f>
        <v>198661940</v>
      </c>
      <c r="D48" s="3">
        <f>VLOOKUP(UPPER($A48),avg_sfr[],6,FALSE)</f>
        <v>244959.23551200001</v>
      </c>
      <c r="E48" s="6">
        <f>VLOOKUP(UPPER($A48),avg_sfr[],5,FALSE)</f>
        <v>0.157855</v>
      </c>
      <c r="F48" s="3">
        <f>VLOOKUP(UPPER($A48),avg_sfr[],8,FALSE)</f>
        <v>150382450</v>
      </c>
      <c r="G48" s="3">
        <f>VLOOKUP(UPPER($A48),avg_sfr[],11,FALSE)</f>
        <v>185428.42170000001</v>
      </c>
      <c r="H48" s="8" t="str">
        <f>VLOOKUP(UPPER($A48),avg_sfr[],10,FALSE)</f>
        <v>0.1548</v>
      </c>
    </row>
    <row r="49" spans="1:8" x14ac:dyDescent="0.25">
      <c r="A49" t="s">
        <v>39</v>
      </c>
      <c r="B49" s="3">
        <f>VLOOKUP(UPPER($A49),avg_sfr[],2,FALSE)</f>
        <v>65</v>
      </c>
      <c r="C49" s="3">
        <f>VLOOKUP(UPPER($A49),avg_sfr[],3,FALSE)</f>
        <v>18861240</v>
      </c>
      <c r="D49" s="3">
        <f>VLOOKUP(UPPER($A49),avg_sfr[],6,FALSE)</f>
        <v>290172.92307700001</v>
      </c>
      <c r="E49" s="6">
        <f>VLOOKUP(UPPER($A49),avg_sfr[],5,FALSE)</f>
        <v>0.342501</v>
      </c>
      <c r="F49" s="3">
        <f>VLOOKUP(UPPER($A49),avg_sfr[],8,FALSE)</f>
        <v>12170462</v>
      </c>
      <c r="G49" s="3">
        <f>VLOOKUP(UPPER($A49),avg_sfr[],11,FALSE)</f>
        <v>187237.8769</v>
      </c>
      <c r="H49" s="8" t="str">
        <f>VLOOKUP(UPPER($A49),avg_sfr[],10,FALSE)</f>
        <v>0.1714</v>
      </c>
    </row>
    <row r="50" spans="1:8" x14ac:dyDescent="0.25">
      <c r="A50" t="s">
        <v>40</v>
      </c>
      <c r="B50" s="3">
        <f>VLOOKUP(UPPER($A50),avg_sfr[],2,FALSE)</f>
        <v>11096</v>
      </c>
      <c r="C50" s="3">
        <f>VLOOKUP(UPPER($A50),avg_sfr[],3,FALSE)</f>
        <v>7227808630</v>
      </c>
      <c r="D50" s="3">
        <f>VLOOKUP(UPPER($A50),avg_sfr[],6,FALSE)</f>
        <v>651388.665285</v>
      </c>
      <c r="E50" s="6">
        <f>VLOOKUP(UPPER($A50),avg_sfr[],5,FALSE)</f>
        <v>0.14391999999999999</v>
      </c>
      <c r="F50" s="3">
        <f>VLOOKUP(UPPER($A50),avg_sfr[],8,FALSE)</f>
        <v>5983379635</v>
      </c>
      <c r="G50" s="3">
        <f>VLOOKUP(UPPER($A50),avg_sfr[],11,FALSE)</f>
        <v>539237.53020000004</v>
      </c>
      <c r="H50" s="8" t="str">
        <f>VLOOKUP(UPPER($A50),avg_sfr[],10,FALSE)</f>
        <v>0.1200</v>
      </c>
    </row>
    <row r="51" spans="1:8" x14ac:dyDescent="0.25">
      <c r="A51" t="s">
        <v>41</v>
      </c>
      <c r="B51" s="3">
        <f>VLOOKUP(UPPER($A51),avg_sfr[],2,FALSE)</f>
        <v>223726</v>
      </c>
      <c r="C51" s="3">
        <f>VLOOKUP(UPPER($A51),avg_sfr[],3,FALSE)</f>
        <v>116634293090</v>
      </c>
      <c r="D51" s="3">
        <f>VLOOKUP(UPPER($A51),avg_sfr[],6,FALSE)</f>
        <v>521326.50246300001</v>
      </c>
      <c r="E51" s="6">
        <f>VLOOKUP(UPPER($A51),avg_sfr[],5,FALSE)</f>
        <v>0.18409500000000001</v>
      </c>
      <c r="F51" s="3">
        <f>VLOOKUP(UPPER($A51),avg_sfr[],8,FALSE)</f>
        <v>77779172604</v>
      </c>
      <c r="G51" s="3">
        <f>VLOOKUP(UPPER($A51),avg_sfr[],11,FALSE)</f>
        <v>347653.70409999997</v>
      </c>
      <c r="H51" s="8" t="str">
        <f>VLOOKUP(UPPER($A51),avg_sfr[],10,FALSE)</f>
        <v>0.1451</v>
      </c>
    </row>
    <row r="52" spans="1:8" x14ac:dyDescent="0.25">
      <c r="A52" t="s">
        <v>42</v>
      </c>
      <c r="B52" s="3">
        <f>VLOOKUP(UPPER($A52),avg_sfr[],2,FALSE)</f>
        <v>16244</v>
      </c>
      <c r="C52" s="3">
        <f>VLOOKUP(UPPER($A52),avg_sfr[],3,FALSE)</f>
        <v>5770574940</v>
      </c>
      <c r="D52" s="3">
        <f>VLOOKUP(UPPER($A52),avg_sfr[],6,FALSE)</f>
        <v>355243.47081999999</v>
      </c>
      <c r="E52" s="6">
        <f>VLOOKUP(UPPER($A52),avg_sfr[],5,FALSE)</f>
        <v>0.11627800000000001</v>
      </c>
      <c r="F52" s="3">
        <f>VLOOKUP(UPPER($A52),avg_sfr[],8,FALSE)</f>
        <v>4726696618</v>
      </c>
      <c r="G52" s="3">
        <f>VLOOKUP(UPPER($A52),avg_sfr[],11,FALSE)</f>
        <v>290981.0772</v>
      </c>
      <c r="H52" s="8" t="str">
        <f>VLOOKUP(UPPER($A52),avg_sfr[],10,FALSE)</f>
        <v>0.1490</v>
      </c>
    </row>
    <row r="53" spans="1:8" x14ac:dyDescent="0.25">
      <c r="A53" t="s">
        <v>43</v>
      </c>
      <c r="B53" s="3">
        <f>VLOOKUP(UPPER($A53),avg_sfr[],2,FALSE)</f>
        <v>11071</v>
      </c>
      <c r="C53" s="3">
        <f>VLOOKUP(UPPER($A53),avg_sfr[],3,FALSE)</f>
        <v>3371194400</v>
      </c>
      <c r="D53" s="3">
        <f>VLOOKUP(UPPER($A53),avg_sfr[],6,FALSE)</f>
        <v>304506.76542299998</v>
      </c>
      <c r="E53" s="6">
        <f>VLOOKUP(UPPER($A53),avg_sfr[],5,FALSE)</f>
        <v>0.15049199999999999</v>
      </c>
      <c r="F53" s="3">
        <f>VLOOKUP(UPPER($A53),avg_sfr[],8,FALSE)</f>
        <v>2700843530</v>
      </c>
      <c r="G53" s="3">
        <f>VLOOKUP(UPPER($A53),avg_sfr[],11,FALSE)</f>
        <v>243956.601</v>
      </c>
      <c r="H53" s="8" t="str">
        <f>VLOOKUP(UPPER($A53),avg_sfr[],10,FALSE)</f>
        <v>0.1352</v>
      </c>
    </row>
    <row r="54" spans="1:8" x14ac:dyDescent="0.25">
      <c r="A54" t="s">
        <v>44</v>
      </c>
      <c r="B54" s="3">
        <f>VLOOKUP(UPPER($A54),avg_sfr[],2,FALSE)</f>
        <v>7995</v>
      </c>
      <c r="C54" s="3">
        <f>VLOOKUP(UPPER($A54),avg_sfr[],3,FALSE)</f>
        <v>3525811470</v>
      </c>
      <c r="D54" s="3">
        <f>VLOOKUP(UPPER($A54),avg_sfr[],6,FALSE)</f>
        <v>441002.060038</v>
      </c>
      <c r="E54" s="6">
        <f>VLOOKUP(UPPER($A54),avg_sfr[],5,FALSE)</f>
        <v>0.150753</v>
      </c>
      <c r="F54" s="3">
        <f>VLOOKUP(UPPER($A54),avg_sfr[],8,FALSE)</f>
        <v>2460752675</v>
      </c>
      <c r="G54" s="3">
        <f>VLOOKUP(UPPER($A54),avg_sfr[],11,FALSE)</f>
        <v>307786.4509</v>
      </c>
      <c r="H54" s="8" t="str">
        <f>VLOOKUP(UPPER($A54),avg_sfr[],10,FALSE)</f>
        <v>0.1413</v>
      </c>
    </row>
    <row r="55" spans="1:8" x14ac:dyDescent="0.25">
      <c r="A55" t="s">
        <v>45</v>
      </c>
      <c r="B55" s="3">
        <f>VLOOKUP(UPPER($A55),avg_sfr[],2,FALSE)</f>
        <v>59603</v>
      </c>
      <c r="C55" s="3">
        <f>VLOOKUP(UPPER($A55),avg_sfr[],3,FALSE)</f>
        <v>19197755810</v>
      </c>
      <c r="D55" s="3">
        <f>VLOOKUP(UPPER($A55),avg_sfr[],6,FALSE)</f>
        <v>322093.78403799998</v>
      </c>
      <c r="E55" s="6">
        <f>VLOOKUP(UPPER($A55),avg_sfr[],5,FALSE)</f>
        <v>0.138624</v>
      </c>
      <c r="F55" s="3">
        <f>VLOOKUP(UPPER($A55),avg_sfr[],8,FALSE)</f>
        <v>15056717755</v>
      </c>
      <c r="G55" s="3">
        <f>VLOOKUP(UPPER($A55),avg_sfr[],11,FALSE)</f>
        <v>252616.7769</v>
      </c>
      <c r="H55" s="8" t="str">
        <f>VLOOKUP(UPPER($A55),avg_sfr[],10,FALSE)</f>
        <v>0.1389</v>
      </c>
    </row>
    <row r="56" spans="1:8" x14ac:dyDescent="0.25">
      <c r="A56" t="s">
        <v>46</v>
      </c>
      <c r="B56" s="3">
        <f>VLOOKUP(UPPER($A56),avg_sfr[],2,FALSE)</f>
        <v>3058</v>
      </c>
      <c r="C56" s="3">
        <f>VLOOKUP(UPPER($A56),avg_sfr[],3,FALSE)</f>
        <v>974766190</v>
      </c>
      <c r="D56" s="3">
        <f>VLOOKUP(UPPER($A56),avg_sfr[],6,FALSE)</f>
        <v>318759.381949</v>
      </c>
      <c r="E56" s="6">
        <f>VLOOKUP(UPPER($A56),avg_sfr[],5,FALSE)</f>
        <v>0.108447</v>
      </c>
      <c r="F56" s="3">
        <f>VLOOKUP(UPPER($A56),avg_sfr[],8,FALSE)</f>
        <v>837399237</v>
      </c>
      <c r="G56" s="3">
        <f>VLOOKUP(UPPER($A56),avg_sfr[],11,FALSE)</f>
        <v>273838.86099999998</v>
      </c>
      <c r="H56" s="8" t="str">
        <f>VLOOKUP(UPPER($A56),avg_sfr[],10,FALSE)</f>
        <v>0.1345</v>
      </c>
    </row>
    <row r="57" spans="1:8" x14ac:dyDescent="0.25">
      <c r="A57" t="s">
        <v>47</v>
      </c>
      <c r="B57" s="3">
        <f>VLOOKUP(UPPER($A57),avg_sfr[],2,FALSE)</f>
        <v>28328</v>
      </c>
      <c r="C57" s="3">
        <f>VLOOKUP(UPPER($A57),avg_sfr[],3,FALSE)</f>
        <v>8391709880</v>
      </c>
      <c r="D57" s="3">
        <f>VLOOKUP(UPPER($A57),avg_sfr[],6,FALSE)</f>
        <v>296233.75741299998</v>
      </c>
      <c r="E57" s="6">
        <f>VLOOKUP(UPPER($A57),avg_sfr[],5,FALSE)</f>
        <v>0.101329</v>
      </c>
      <c r="F57" s="3">
        <f>VLOOKUP(UPPER($A57),avg_sfr[],8,FALSE)</f>
        <v>6292445416</v>
      </c>
      <c r="G57" s="3">
        <f>VLOOKUP(UPPER($A57),avg_sfr[],11,FALSE)</f>
        <v>222128.12119999999</v>
      </c>
      <c r="H57" s="8" t="str">
        <f>VLOOKUP(UPPER($A57),avg_sfr[],10,FALSE)</f>
        <v>0.1053</v>
      </c>
    </row>
    <row r="58" spans="1:8" x14ac:dyDescent="0.25">
      <c r="A58" t="s">
        <v>48</v>
      </c>
      <c r="B58" s="3">
        <f>VLOOKUP(UPPER($A58),avg_sfr[],2,FALSE)</f>
        <v>2815</v>
      </c>
      <c r="C58" s="3">
        <f>VLOOKUP(UPPER($A58),avg_sfr[],3,FALSE)</f>
        <v>12008019560</v>
      </c>
      <c r="D58" s="3">
        <f>VLOOKUP(UPPER($A58),avg_sfr[],6,FALSE)</f>
        <v>4265726.3090589996</v>
      </c>
      <c r="E58" s="6">
        <f>VLOOKUP(UPPER($A58),avg_sfr[],5,FALSE)</f>
        <v>0.17199999999999999</v>
      </c>
      <c r="F58" s="3">
        <f>VLOOKUP(UPPER($A58),avg_sfr[],8,FALSE)</f>
        <v>8139480972</v>
      </c>
      <c r="G58" s="3">
        <f>VLOOKUP(UPPER($A58),avg_sfr[],11,FALSE)</f>
        <v>2891467.4855999998</v>
      </c>
      <c r="H58" s="8" t="str">
        <f>VLOOKUP(UPPER($A58),avg_sfr[],10,FALSE)</f>
        <v>0.1267</v>
      </c>
    </row>
    <row r="59" spans="1:8" x14ac:dyDescent="0.25">
      <c r="A59" t="s">
        <v>49</v>
      </c>
      <c r="B59" s="3">
        <f>VLOOKUP(UPPER($A59),avg_sfr[],2,FALSE)</f>
        <v>1145</v>
      </c>
      <c r="C59" s="3">
        <f>VLOOKUP(UPPER($A59),avg_sfr[],3,FALSE)</f>
        <v>285844530</v>
      </c>
      <c r="D59" s="3">
        <f>VLOOKUP(UPPER($A59),avg_sfr[],6,FALSE)</f>
        <v>249645.877729</v>
      </c>
      <c r="E59" s="6">
        <f>VLOOKUP(UPPER($A59),avg_sfr[],5,FALSE)</f>
        <v>0.194663</v>
      </c>
      <c r="F59" s="3">
        <f>VLOOKUP(UPPER($A59),avg_sfr[],8,FALSE)</f>
        <v>219148458</v>
      </c>
      <c r="G59" s="3">
        <f>VLOOKUP(UPPER($A59),avg_sfr[],11,FALSE)</f>
        <v>191396.03320000001</v>
      </c>
      <c r="H59" s="8" t="str">
        <f>VLOOKUP(UPPER($A59),avg_sfr[],10,FALSE)</f>
        <v>0.2300</v>
      </c>
    </row>
    <row r="60" spans="1:8" x14ac:dyDescent="0.25">
      <c r="A60" t="s">
        <v>50</v>
      </c>
      <c r="B60" s="3">
        <f>VLOOKUP(UPPER($A60),avg_sfr[],2,FALSE)</f>
        <v>38385</v>
      </c>
      <c r="C60" s="3">
        <f>VLOOKUP(UPPER($A60),avg_sfr[],3,FALSE)</f>
        <v>16401777990</v>
      </c>
      <c r="D60" s="3">
        <f>VLOOKUP(UPPER($A60),avg_sfr[],6,FALSE)</f>
        <v>427296.54787000001</v>
      </c>
      <c r="E60" s="6">
        <f>VLOOKUP(UPPER($A60),avg_sfr[],5,FALSE)</f>
        <v>0.15614700000000001</v>
      </c>
      <c r="F60" s="3">
        <f>VLOOKUP(UPPER($A60),avg_sfr[],8,FALSE)</f>
        <v>11781407612</v>
      </c>
      <c r="G60" s="3">
        <f>VLOOKUP(UPPER($A60),avg_sfr[],11,FALSE)</f>
        <v>306927.38339999999</v>
      </c>
      <c r="H60" s="8" t="str">
        <f>VLOOKUP(UPPER($A60),avg_sfr[],10,FALSE)</f>
        <v>0.1303</v>
      </c>
    </row>
    <row r="61" spans="1:8" x14ac:dyDescent="0.25">
      <c r="A61" t="s">
        <v>51</v>
      </c>
      <c r="B61" s="3">
        <f>VLOOKUP(UPPER($A61),avg_sfr[],2,FALSE)</f>
        <v>11788</v>
      </c>
      <c r="C61" s="3">
        <f>VLOOKUP(UPPER($A61),avg_sfr[],3,FALSE)</f>
        <v>3281478520</v>
      </c>
      <c r="D61" s="3">
        <f>VLOOKUP(UPPER($A61),avg_sfr[],6,FALSE)</f>
        <v>278374.49270399997</v>
      </c>
      <c r="E61" s="6">
        <f>VLOOKUP(UPPER($A61),avg_sfr[],5,FALSE)</f>
        <v>9.7909999999999997E-2</v>
      </c>
      <c r="F61" s="3">
        <f>VLOOKUP(UPPER($A61),avg_sfr[],8,FALSE)</f>
        <v>2685933448</v>
      </c>
      <c r="G61" s="3">
        <f>VLOOKUP(UPPER($A61),avg_sfr[],11,FALSE)</f>
        <v>227853.19380000001</v>
      </c>
      <c r="H61" s="8" t="str">
        <f>VLOOKUP(UPPER($A61),avg_sfr[],10,FALSE)</f>
        <v>0.1370</v>
      </c>
    </row>
    <row r="62" spans="1:8" x14ac:dyDescent="0.25">
      <c r="A62" t="s">
        <v>52</v>
      </c>
      <c r="B62" s="3">
        <f>VLOOKUP(UPPER($A62),avg_sfr[],2,FALSE)</f>
        <v>37541</v>
      </c>
      <c r="C62" s="3">
        <f>VLOOKUP(UPPER($A62),avg_sfr[],3,FALSE)</f>
        <v>10515775070</v>
      </c>
      <c r="D62" s="3">
        <f>VLOOKUP(UPPER($A62),avg_sfr[],6,FALSE)</f>
        <v>280114.41011200001</v>
      </c>
      <c r="E62" s="6">
        <f>VLOOKUP(UPPER($A62),avg_sfr[],5,FALSE)</f>
        <v>0.17302000000000001</v>
      </c>
      <c r="F62" s="3">
        <f>VLOOKUP(UPPER($A62),avg_sfr[],8,FALSE)</f>
        <v>8822231861</v>
      </c>
      <c r="G62" s="3">
        <f>VLOOKUP(UPPER($A62),avg_sfr[],11,FALSE)</f>
        <v>235002.58009999999</v>
      </c>
      <c r="H62" s="8" t="str">
        <f>VLOOKUP(UPPER($A62),avg_sfr[],10,FALSE)</f>
        <v>0.1635</v>
      </c>
    </row>
    <row r="63" spans="1:8" x14ac:dyDescent="0.25">
      <c r="A63" t="s">
        <v>53</v>
      </c>
      <c r="B63" s="3">
        <f>VLOOKUP(UPPER($A63),avg_sfr[],2,FALSE)</f>
        <v>134</v>
      </c>
      <c r="C63" s="3">
        <f>VLOOKUP(UPPER($A63),avg_sfr[],3,FALSE)</f>
        <v>58923110</v>
      </c>
      <c r="D63" s="3">
        <f>VLOOKUP(UPPER($A63),avg_sfr[],6,FALSE)</f>
        <v>439724.70149299997</v>
      </c>
      <c r="E63" s="6">
        <f>VLOOKUP(UPPER($A63),avg_sfr[],5,FALSE)</f>
        <v>0.14428099999999999</v>
      </c>
      <c r="F63" s="3">
        <f>VLOOKUP(UPPER($A63),avg_sfr[],8,FALSE)</f>
        <v>45264749</v>
      </c>
      <c r="G63" s="3">
        <f>VLOOKUP(UPPER($A63),avg_sfr[],11,FALSE)</f>
        <v>337796.63429999998</v>
      </c>
      <c r="H63" s="8" t="str">
        <f>VLOOKUP(UPPER($A63),avg_sfr[],10,FALSE)</f>
        <v>0.1156</v>
      </c>
    </row>
    <row r="64" spans="1:8" x14ac:dyDescent="0.25">
      <c r="A64" t="s">
        <v>54</v>
      </c>
      <c r="B64" s="3">
        <f>VLOOKUP(UPPER($A64),avg_sfr[],2,FALSE)</f>
        <v>19422</v>
      </c>
      <c r="C64" s="3">
        <f>VLOOKUP(UPPER($A64),avg_sfr[],3,FALSE)</f>
        <v>8776497550</v>
      </c>
      <c r="D64" s="3">
        <f>VLOOKUP(UPPER($A64),avg_sfr[],6,FALSE)</f>
        <v>451884.334775</v>
      </c>
      <c r="E64" s="6">
        <f>VLOOKUP(UPPER($A64),avg_sfr[],5,FALSE)</f>
        <v>0.16436500000000001</v>
      </c>
      <c r="F64" s="3">
        <f>VLOOKUP(UPPER($A64),avg_sfr[],8,FALSE)</f>
        <v>7069568647</v>
      </c>
      <c r="G64" s="3">
        <f>VLOOKUP(UPPER($A64),avg_sfr[],11,FALSE)</f>
        <v>363997.97379999998</v>
      </c>
      <c r="H64" s="8" t="str">
        <f>VLOOKUP(UPPER($A64),avg_sfr[],10,FALSE)</f>
        <v>0.1472</v>
      </c>
    </row>
    <row r="65" spans="1:8" x14ac:dyDescent="0.25">
      <c r="A65" t="s">
        <v>55</v>
      </c>
      <c r="B65" s="3">
        <f>VLOOKUP(UPPER($A65),avg_sfr[],2,FALSE)</f>
        <v>17809</v>
      </c>
      <c r="C65" s="3">
        <f>VLOOKUP(UPPER($A65),avg_sfr[],3,FALSE)</f>
        <v>7246448200</v>
      </c>
      <c r="D65" s="3">
        <f>VLOOKUP(UPPER($A65),avg_sfr[],6,FALSE)</f>
        <v>406898.09646799997</v>
      </c>
      <c r="E65" s="6">
        <f>VLOOKUP(UPPER($A65),avg_sfr[],5,FALSE)</f>
        <v>0.12296899999999999</v>
      </c>
      <c r="F65" s="3">
        <f>VLOOKUP(UPPER($A65),avg_sfr[],8,FALSE)</f>
        <v>6264801358</v>
      </c>
      <c r="G65" s="3">
        <f>VLOOKUP(UPPER($A65),avg_sfr[],11,FALSE)</f>
        <v>351777.26760000002</v>
      </c>
      <c r="H65" s="8" t="str">
        <f>VLOOKUP(UPPER($A65),avg_sfr[],10,FALSE)</f>
        <v>0.1476</v>
      </c>
    </row>
    <row r="66" spans="1:8" x14ac:dyDescent="0.25">
      <c r="A66" t="s">
        <v>56</v>
      </c>
      <c r="B66" s="3">
        <f>VLOOKUP(UPPER($A66),avg_sfr[],2,FALSE)</f>
        <v>5591</v>
      </c>
      <c r="C66" s="3">
        <f>VLOOKUP(UPPER($A66),avg_sfr[],3,FALSE)</f>
        <v>2613821380</v>
      </c>
      <c r="D66" s="3">
        <f>VLOOKUP(UPPER($A66),avg_sfr[],6,FALSE)</f>
        <v>467505.16544399998</v>
      </c>
      <c r="E66" s="6">
        <f>VLOOKUP(UPPER($A66),avg_sfr[],5,FALSE)</f>
        <v>0.104244</v>
      </c>
      <c r="F66" s="3">
        <f>VLOOKUP(UPPER($A66),avg_sfr[],8,FALSE)</f>
        <v>2220142505</v>
      </c>
      <c r="G66" s="3">
        <f>VLOOKUP(UPPER($A66),avg_sfr[],11,FALSE)</f>
        <v>397092.20260000002</v>
      </c>
      <c r="H66" s="8" t="str">
        <f>VLOOKUP(UPPER($A66),avg_sfr[],10,FALSE)</f>
        <v>0.1359</v>
      </c>
    </row>
    <row r="67" spans="1:8" x14ac:dyDescent="0.25">
      <c r="A67" t="s">
        <v>57</v>
      </c>
      <c r="B67" s="3">
        <f>VLOOKUP(UPPER($A67),avg_sfr[],2,FALSE)</f>
        <v>4767</v>
      </c>
      <c r="C67" s="3">
        <f>VLOOKUP(UPPER($A67),avg_sfr[],3,FALSE)</f>
        <v>1320523280</v>
      </c>
      <c r="D67" s="3">
        <f>VLOOKUP(UPPER($A67),avg_sfr[],6,FALSE)</f>
        <v>277013.48437199998</v>
      </c>
      <c r="E67" s="6">
        <f>VLOOKUP(UPPER($A67),avg_sfr[],5,FALSE)</f>
        <v>0.20352700000000001</v>
      </c>
      <c r="F67" s="3">
        <f>VLOOKUP(UPPER($A67),avg_sfr[],8,FALSE)</f>
        <v>1022509883</v>
      </c>
      <c r="G67" s="3">
        <f>VLOOKUP(UPPER($A67),avg_sfr[],11,FALSE)</f>
        <v>214497.56299999999</v>
      </c>
      <c r="H67" s="8" t="str">
        <f>VLOOKUP(UPPER($A67),avg_sfr[],10,FALSE)</f>
        <v>0.1599</v>
      </c>
    </row>
    <row r="68" spans="1:8" x14ac:dyDescent="0.25">
      <c r="A68" t="s">
        <v>58</v>
      </c>
      <c r="B68" s="3">
        <f>VLOOKUP(UPPER($A68),avg_sfr[],2,FALSE)</f>
        <v>2748</v>
      </c>
      <c r="C68" s="3">
        <f>VLOOKUP(UPPER($A68),avg_sfr[],3,FALSE)</f>
        <v>1794149120</v>
      </c>
      <c r="D68" s="3">
        <f>VLOOKUP(UPPER($A68),avg_sfr[],6,FALSE)</f>
        <v>652892.69286800001</v>
      </c>
      <c r="E68" s="6">
        <f>VLOOKUP(UPPER($A68),avg_sfr[],5,FALSE)</f>
        <v>0.106562</v>
      </c>
      <c r="F68" s="3">
        <f>VLOOKUP(UPPER($A68),avg_sfr[],8,FALSE)</f>
        <v>1275392793</v>
      </c>
      <c r="G68" s="3">
        <f>VLOOKUP(UPPER($A68),avg_sfr[],11,FALSE)</f>
        <v>464116.73690000002</v>
      </c>
      <c r="H68" s="8" t="str">
        <f>VLOOKUP(UPPER($A68),avg_sfr[],10,FALSE)</f>
        <v>0.1365</v>
      </c>
    </row>
    <row r="69" spans="1:8" x14ac:dyDescent="0.25">
      <c r="A69" t="s">
        <v>59</v>
      </c>
      <c r="B69" s="3">
        <f>VLOOKUP(UPPER($A69),avg_sfr[],2,FALSE)</f>
        <v>5365</v>
      </c>
      <c r="C69" s="3">
        <f>VLOOKUP(UPPER($A69),avg_sfr[],3,FALSE)</f>
        <v>15139456000</v>
      </c>
      <c r="D69" s="3">
        <f>VLOOKUP(UPPER($A69),avg_sfr[],6,FALSE)</f>
        <v>2821893.0102519998</v>
      </c>
      <c r="E69" s="6">
        <f>VLOOKUP(UPPER($A69),avg_sfr[],5,FALSE)</f>
        <v>0.15029899999999999</v>
      </c>
      <c r="F69" s="3">
        <f>VLOOKUP(UPPER($A69),avg_sfr[],8,FALSE)</f>
        <v>9611743043</v>
      </c>
      <c r="G69" s="3">
        <f>VLOOKUP(UPPER($A69),avg_sfr[],11,FALSE)</f>
        <v>1791564.4069000001</v>
      </c>
      <c r="H69" s="8" t="str">
        <f>VLOOKUP(UPPER($A69),avg_sfr[],10,FALSE)</f>
        <v>0.1011</v>
      </c>
    </row>
    <row r="70" spans="1:8" x14ac:dyDescent="0.25">
      <c r="A70" t="s">
        <v>60</v>
      </c>
      <c r="B70" s="3">
        <f>VLOOKUP(UPPER($A70),avg_sfr[],2,FALSE)</f>
        <v>1024</v>
      </c>
      <c r="C70" s="3">
        <f>VLOOKUP(UPPER($A70),avg_sfr[],3,FALSE)</f>
        <v>232385910</v>
      </c>
      <c r="D70" s="3">
        <f>VLOOKUP(UPPER($A70),avg_sfr[],6,FALSE)</f>
        <v>226939.365234</v>
      </c>
      <c r="E70" s="6">
        <f>VLOOKUP(UPPER($A70),avg_sfr[],5,FALSE)</f>
        <v>0.224913</v>
      </c>
      <c r="F70" s="3">
        <f>VLOOKUP(UPPER($A70),avg_sfr[],8,FALSE)</f>
        <v>169266473</v>
      </c>
      <c r="G70" s="3">
        <f>VLOOKUP(UPPER($A70),avg_sfr[],11,FALSE)</f>
        <v>165299.29</v>
      </c>
      <c r="H70" s="8" t="str">
        <f>VLOOKUP(UPPER($A70),avg_sfr[],10,FALSE)</f>
        <v>0.1449</v>
      </c>
    </row>
    <row r="71" spans="1:8" x14ac:dyDescent="0.25">
      <c r="A71" t="s">
        <v>61</v>
      </c>
      <c r="B71" s="3">
        <f>VLOOKUP(UPPER($A71),avg_sfr[],2,FALSE)</f>
        <v>359</v>
      </c>
      <c r="C71" s="3">
        <f>VLOOKUP(UPPER($A71),avg_sfr[],3,FALSE)</f>
        <v>226242840</v>
      </c>
      <c r="D71" s="3">
        <f>VLOOKUP(UPPER($A71),avg_sfr[],6,FALSE)</f>
        <v>630202.89693599998</v>
      </c>
      <c r="E71" s="6">
        <f>VLOOKUP(UPPER($A71),avg_sfr[],5,FALSE)</f>
        <v>0.217748</v>
      </c>
      <c r="F71" s="3">
        <f>VLOOKUP(UPPER($A71),avg_sfr[],8,FALSE)</f>
        <v>203595642</v>
      </c>
      <c r="G71" s="3">
        <f>VLOOKUP(UPPER($A71),avg_sfr[],11,FALSE)</f>
        <v>567118.77989999996</v>
      </c>
      <c r="H71" s="8" t="str">
        <f>VLOOKUP(UPPER($A71),avg_sfr[],10,FALSE)</f>
        <v>0.2383</v>
      </c>
    </row>
    <row r="72" spans="1:8" x14ac:dyDescent="0.25">
      <c r="B72" s="3"/>
      <c r="C72" s="3"/>
      <c r="D72" s="3"/>
      <c r="E72" s="3"/>
      <c r="F72" s="3"/>
      <c r="G72" s="3"/>
      <c r="H72" s="3"/>
    </row>
    <row r="73" spans="1:8" x14ac:dyDescent="0.25">
      <c r="A73" t="str">
        <f>CONCATENATE("* Values from ",TEXT(YEARLY_DATES!$B$1,"mm/dd/yyyy")," Certified Values")</f>
        <v>* Values from 07/25/2024 Certified Values</v>
      </c>
      <c r="B73" s="3"/>
      <c r="C73" s="3"/>
      <c r="D73" s="3"/>
      <c r="E73" s="3"/>
      <c r="F73" s="3"/>
      <c r="G73" s="3"/>
      <c r="H73" s="3"/>
    </row>
  </sheetData>
  <mergeCells count="3">
    <mergeCell ref="A1:H1"/>
    <mergeCell ref="A2:H2"/>
    <mergeCell ref="A3:H3"/>
  </mergeCells>
  <printOptions horizontalCentered="1" verticalCentered="1"/>
  <pageMargins left="0.7" right="0.7" top="0.75" bottom="0.75" header="0.3" footer="0.3"/>
  <pageSetup scale="77" orientation="landscape" r:id="rId1"/>
  <headerFooter>
    <oddFooter>&amp;LDallas Central Appraisal District QCD
&amp;D&amp;RPage &amp;P of &amp;N
&amp;F</oddFooter>
  </headerFooter>
  <rowBreaks count="1" manualBreakCount="1">
    <brk id="41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0E0F8-6B56-4D1D-BE98-2D9422B5A90B}">
  <dimension ref="A1:L58"/>
  <sheetViews>
    <sheetView workbookViewId="0"/>
  </sheetViews>
  <sheetFormatPr defaultRowHeight="15" x14ac:dyDescent="0.25"/>
  <cols>
    <col min="1" max="1" width="35.5703125" bestFit="1" customWidth="1"/>
    <col min="2" max="2" width="10.85546875" bestFit="1" customWidth="1"/>
    <col min="3" max="3" width="16.7109375" bestFit="1" customWidth="1"/>
    <col min="4" max="4" width="17.28515625" bestFit="1" customWidth="1"/>
    <col min="5" max="5" width="24" bestFit="1" customWidth="1"/>
    <col min="6" max="6" width="26.42578125" bestFit="1" customWidth="1"/>
    <col min="7" max="7" width="23.42578125" bestFit="1" customWidth="1"/>
    <col min="8" max="8" width="27.5703125" bestFit="1" customWidth="1"/>
    <col min="9" max="9" width="24.7109375" bestFit="1" customWidth="1"/>
    <col min="10" max="10" width="24.28515625" bestFit="1" customWidth="1"/>
    <col min="11" max="11" width="32.85546875" bestFit="1" customWidth="1"/>
    <col min="12" max="12" width="29.85546875" bestFit="1" customWidth="1"/>
  </cols>
  <sheetData>
    <row r="1" spans="1:12" x14ac:dyDescent="0.25">
      <c r="A1" t="s">
        <v>70</v>
      </c>
      <c r="B1" t="s">
        <v>71</v>
      </c>
      <c r="C1" t="s">
        <v>72</v>
      </c>
      <c r="D1" t="s">
        <v>73</v>
      </c>
      <c r="E1" t="s">
        <v>74</v>
      </c>
      <c r="F1" t="s">
        <v>75</v>
      </c>
      <c r="G1" t="s">
        <v>76</v>
      </c>
      <c r="H1" t="s">
        <v>77</v>
      </c>
      <c r="I1" t="s">
        <v>78</v>
      </c>
      <c r="J1" t="s">
        <v>79</v>
      </c>
      <c r="K1" t="s">
        <v>80</v>
      </c>
      <c r="L1" t="s">
        <v>81</v>
      </c>
    </row>
    <row r="2" spans="1:12" x14ac:dyDescent="0.25">
      <c r="A2" s="10" t="s">
        <v>82</v>
      </c>
      <c r="B2">
        <v>1390</v>
      </c>
      <c r="C2">
        <v>928575920</v>
      </c>
      <c r="D2">
        <v>796524600</v>
      </c>
      <c r="E2">
        <v>0.16578399999999999</v>
      </c>
      <c r="F2">
        <v>668040.230216</v>
      </c>
      <c r="G2">
        <v>592211.59851299995</v>
      </c>
      <c r="H2">
        <v>659519591</v>
      </c>
      <c r="I2">
        <v>582346393</v>
      </c>
      <c r="J2" s="10" t="s">
        <v>83</v>
      </c>
      <c r="K2">
        <v>474474.52590000001</v>
      </c>
      <c r="L2">
        <v>432971.29590000003</v>
      </c>
    </row>
    <row r="3" spans="1:12" x14ac:dyDescent="0.25">
      <c r="A3" s="10" t="s">
        <v>84</v>
      </c>
      <c r="B3">
        <v>6079</v>
      </c>
      <c r="C3">
        <v>1456263210</v>
      </c>
      <c r="D3">
        <v>1207511660</v>
      </c>
      <c r="E3">
        <v>0.20600299999999999</v>
      </c>
      <c r="F3">
        <v>239556.37604900001</v>
      </c>
      <c r="G3">
        <v>207904.900138</v>
      </c>
      <c r="H3">
        <v>1162147012</v>
      </c>
      <c r="I3">
        <v>988604096</v>
      </c>
      <c r="J3" s="10" t="s">
        <v>85</v>
      </c>
      <c r="K3">
        <v>191174.04380000001</v>
      </c>
      <c r="L3">
        <v>170214.20389999999</v>
      </c>
    </row>
    <row r="4" spans="1:12" x14ac:dyDescent="0.25">
      <c r="A4" s="10" t="s">
        <v>86</v>
      </c>
      <c r="B4">
        <v>9608</v>
      </c>
      <c r="C4">
        <v>3595802130</v>
      </c>
      <c r="D4">
        <v>3199460050</v>
      </c>
      <c r="E4">
        <v>0.123878</v>
      </c>
      <c r="F4">
        <v>374250.84616999998</v>
      </c>
      <c r="G4">
        <v>344435.35902700003</v>
      </c>
      <c r="H4">
        <v>2442973845</v>
      </c>
      <c r="I4">
        <v>2168127973</v>
      </c>
      <c r="J4" s="10" t="s">
        <v>87</v>
      </c>
      <c r="K4">
        <v>254264.5551</v>
      </c>
      <c r="L4">
        <v>233408.11420000001</v>
      </c>
    </row>
    <row r="5" spans="1:12" x14ac:dyDescent="0.25">
      <c r="A5" s="10" t="s">
        <v>88</v>
      </c>
      <c r="B5">
        <v>20861</v>
      </c>
      <c r="C5">
        <v>9874085150</v>
      </c>
      <c r="D5">
        <v>8611997430</v>
      </c>
      <c r="E5">
        <v>0.14655000000000001</v>
      </c>
      <c r="F5">
        <v>473327.50826899998</v>
      </c>
      <c r="G5">
        <v>425956.94084499998</v>
      </c>
      <c r="H5">
        <v>7203553182</v>
      </c>
      <c r="I5">
        <v>6232301300</v>
      </c>
      <c r="J5" s="10" t="s">
        <v>89</v>
      </c>
      <c r="K5">
        <v>345311.97840000002</v>
      </c>
      <c r="L5">
        <v>308255.0846</v>
      </c>
    </row>
    <row r="6" spans="1:12" x14ac:dyDescent="0.25">
      <c r="A6" s="10" t="s">
        <v>90</v>
      </c>
      <c r="B6">
        <v>14561</v>
      </c>
      <c r="C6">
        <v>5304184170</v>
      </c>
      <c r="D6">
        <v>4636614830</v>
      </c>
      <c r="E6">
        <v>0.14397799999999999</v>
      </c>
      <c r="F6">
        <v>364273.34455099999</v>
      </c>
      <c r="G6">
        <v>334967.11674600001</v>
      </c>
      <c r="H6">
        <v>4481416089</v>
      </c>
      <c r="I6">
        <v>3889758768</v>
      </c>
      <c r="J6" s="10" t="s">
        <v>91</v>
      </c>
      <c r="K6">
        <v>307768.42859999998</v>
      </c>
      <c r="L6">
        <v>281011.32549999998</v>
      </c>
    </row>
    <row r="7" spans="1:12" x14ac:dyDescent="0.25">
      <c r="A7" s="10" t="s">
        <v>92</v>
      </c>
      <c r="B7">
        <v>14715</v>
      </c>
      <c r="C7">
        <v>5441014910</v>
      </c>
      <c r="D7">
        <v>4814765360</v>
      </c>
      <c r="E7">
        <v>0.13006899999999999</v>
      </c>
      <c r="F7">
        <v>369759.762827</v>
      </c>
      <c r="G7">
        <v>339306.93164199998</v>
      </c>
      <c r="H7">
        <v>3684462225</v>
      </c>
      <c r="I7">
        <v>3188556281</v>
      </c>
      <c r="J7" s="10" t="s">
        <v>93</v>
      </c>
      <c r="K7">
        <v>250388.1906</v>
      </c>
      <c r="L7">
        <v>224704.4595</v>
      </c>
    </row>
    <row r="8" spans="1:12" x14ac:dyDescent="0.25">
      <c r="A8" s="10" t="s">
        <v>94</v>
      </c>
      <c r="B8">
        <v>811</v>
      </c>
      <c r="C8">
        <v>198661940</v>
      </c>
      <c r="D8">
        <v>171577540</v>
      </c>
      <c r="E8">
        <v>0.157855</v>
      </c>
      <c r="F8">
        <v>244959.23551200001</v>
      </c>
      <c r="G8">
        <v>219128.40357600001</v>
      </c>
      <c r="H8">
        <v>150382450</v>
      </c>
      <c r="I8">
        <v>130227197</v>
      </c>
      <c r="J8" s="10" t="s">
        <v>95</v>
      </c>
      <c r="K8">
        <v>185428.42170000001</v>
      </c>
      <c r="L8">
        <v>166318.25930000001</v>
      </c>
    </row>
    <row r="9" spans="1:12" x14ac:dyDescent="0.25">
      <c r="A9" s="10" t="s">
        <v>96</v>
      </c>
      <c r="B9">
        <v>65</v>
      </c>
      <c r="C9">
        <v>18861240</v>
      </c>
      <c r="D9">
        <v>14049330</v>
      </c>
      <c r="E9">
        <v>0.342501</v>
      </c>
      <c r="F9">
        <v>290172.92307700001</v>
      </c>
      <c r="G9">
        <v>219520.78125</v>
      </c>
      <c r="H9">
        <v>12170462</v>
      </c>
      <c r="I9">
        <v>10389855</v>
      </c>
      <c r="J9" s="10" t="s">
        <v>97</v>
      </c>
      <c r="K9">
        <v>187237.8769</v>
      </c>
      <c r="L9">
        <v>162341.48439999999</v>
      </c>
    </row>
    <row r="10" spans="1:12" x14ac:dyDescent="0.25">
      <c r="A10" s="10" t="s">
        <v>98</v>
      </c>
      <c r="B10">
        <v>11096</v>
      </c>
      <c r="C10">
        <v>7227808630</v>
      </c>
      <c r="D10">
        <v>6318457640</v>
      </c>
      <c r="E10">
        <v>0.14391999999999999</v>
      </c>
      <c r="F10">
        <v>651388.665285</v>
      </c>
      <c r="G10">
        <v>583960.96487999998</v>
      </c>
      <c r="H10">
        <v>5983379635</v>
      </c>
      <c r="I10">
        <v>5342459943</v>
      </c>
      <c r="J10" s="10" t="s">
        <v>99</v>
      </c>
      <c r="K10">
        <v>539237.53020000004</v>
      </c>
      <c r="L10">
        <v>493757.85060000001</v>
      </c>
    </row>
    <row r="11" spans="1:12" x14ac:dyDescent="0.25">
      <c r="A11" s="10" t="s">
        <v>100</v>
      </c>
      <c r="B11">
        <v>14653</v>
      </c>
      <c r="C11">
        <v>9752741640</v>
      </c>
      <c r="D11">
        <v>8652762800</v>
      </c>
      <c r="E11">
        <v>0.12712499999999999</v>
      </c>
      <c r="F11">
        <v>665579.85668500001</v>
      </c>
      <c r="G11">
        <v>606487.89514299994</v>
      </c>
      <c r="H11">
        <v>7525830961</v>
      </c>
      <c r="I11">
        <v>6650558032</v>
      </c>
      <c r="J11" s="10" t="s">
        <v>101</v>
      </c>
      <c r="K11">
        <v>513603.42330000002</v>
      </c>
      <c r="L11">
        <v>466149.71840000001</v>
      </c>
    </row>
    <row r="12" spans="1:12" x14ac:dyDescent="0.25">
      <c r="A12" s="10" t="s">
        <v>102</v>
      </c>
      <c r="B12">
        <v>223726</v>
      </c>
      <c r="C12">
        <v>116634293090</v>
      </c>
      <c r="D12">
        <v>98500784280</v>
      </c>
      <c r="E12">
        <v>0.18409500000000001</v>
      </c>
      <c r="F12">
        <v>521326.50246300001</v>
      </c>
      <c r="G12">
        <v>455676.173091</v>
      </c>
      <c r="H12">
        <v>77779172604</v>
      </c>
      <c r="I12">
        <v>67923960014</v>
      </c>
      <c r="J12" s="10" t="s">
        <v>103</v>
      </c>
      <c r="K12">
        <v>347653.70409999997</v>
      </c>
      <c r="L12">
        <v>314224.20020000002</v>
      </c>
    </row>
    <row r="13" spans="1:12" x14ac:dyDescent="0.25">
      <c r="A13" s="10" t="s">
        <v>104</v>
      </c>
      <c r="B13">
        <v>544632</v>
      </c>
      <c r="C13">
        <v>257186740060</v>
      </c>
      <c r="D13">
        <v>221181772940</v>
      </c>
      <c r="E13">
        <v>0.16278500000000001</v>
      </c>
      <c r="F13">
        <v>472221.132912</v>
      </c>
      <c r="G13">
        <v>421151.81363400002</v>
      </c>
      <c r="H13">
        <v>176685954999</v>
      </c>
      <c r="I13">
        <v>154227044519</v>
      </c>
      <c r="J13" s="10" t="s">
        <v>105</v>
      </c>
      <c r="K13">
        <v>324413.46629999997</v>
      </c>
      <c r="L13">
        <v>293663.43640000001</v>
      </c>
    </row>
    <row r="14" spans="1:12" x14ac:dyDescent="0.25">
      <c r="A14" s="10" t="s">
        <v>106</v>
      </c>
      <c r="B14">
        <v>544632</v>
      </c>
      <c r="C14">
        <v>257186740060</v>
      </c>
      <c r="D14">
        <v>221181772940</v>
      </c>
      <c r="E14">
        <v>0.16278500000000001</v>
      </c>
      <c r="F14">
        <v>472221.132912</v>
      </c>
      <c r="G14">
        <v>421151.81363400002</v>
      </c>
      <c r="H14">
        <v>176685825099</v>
      </c>
      <c r="I14">
        <v>154227044519</v>
      </c>
      <c r="J14" s="10" t="s">
        <v>105</v>
      </c>
      <c r="K14">
        <v>324413.22779999999</v>
      </c>
      <c r="L14">
        <v>293663.43640000001</v>
      </c>
    </row>
    <row r="15" spans="1:12" x14ac:dyDescent="0.25">
      <c r="A15" s="10" t="s">
        <v>107</v>
      </c>
      <c r="B15">
        <v>104</v>
      </c>
      <c r="C15">
        <v>54546090</v>
      </c>
      <c r="D15">
        <v>39506660</v>
      </c>
      <c r="E15">
        <v>0.38068099999999999</v>
      </c>
      <c r="F15">
        <v>524481.63461499999</v>
      </c>
      <c r="G15">
        <v>454099.54022999998</v>
      </c>
      <c r="H15">
        <v>43915799</v>
      </c>
      <c r="I15">
        <v>32726820</v>
      </c>
      <c r="J15" s="10" t="s">
        <v>108</v>
      </c>
      <c r="K15">
        <v>422267.29810000001</v>
      </c>
      <c r="L15">
        <v>376170.34480000002</v>
      </c>
    </row>
    <row r="16" spans="1:12" x14ac:dyDescent="0.25">
      <c r="A16" s="10" t="s">
        <v>109</v>
      </c>
      <c r="B16">
        <v>277</v>
      </c>
      <c r="C16">
        <v>102639050</v>
      </c>
      <c r="D16">
        <v>10284890</v>
      </c>
      <c r="E16">
        <v>8.9795960000000008</v>
      </c>
      <c r="F16">
        <v>370538.08664300002</v>
      </c>
      <c r="G16">
        <v>233747.5</v>
      </c>
      <c r="H16">
        <v>102007502</v>
      </c>
      <c r="I16">
        <v>10284890</v>
      </c>
      <c r="J16" s="10" t="s">
        <v>110</v>
      </c>
      <c r="K16">
        <v>368258.13</v>
      </c>
      <c r="L16">
        <v>233747.5</v>
      </c>
    </row>
    <row r="17" spans="1:12" x14ac:dyDescent="0.25">
      <c r="A17" s="10" t="s">
        <v>111</v>
      </c>
      <c r="B17">
        <v>1634</v>
      </c>
      <c r="C17">
        <v>1260231490</v>
      </c>
      <c r="D17">
        <v>1116711620</v>
      </c>
      <c r="E17">
        <v>0.12852</v>
      </c>
      <c r="F17">
        <v>771255.50183600001</v>
      </c>
      <c r="G17">
        <v>693179.15580399998</v>
      </c>
      <c r="H17">
        <v>1128197043</v>
      </c>
      <c r="I17">
        <v>1007846320</v>
      </c>
      <c r="J17" s="10" t="s">
        <v>112</v>
      </c>
      <c r="K17">
        <v>690451.06669999997</v>
      </c>
      <c r="L17">
        <v>625602.92989999999</v>
      </c>
    </row>
    <row r="18" spans="1:12" x14ac:dyDescent="0.25">
      <c r="A18" s="10" t="s">
        <v>113</v>
      </c>
      <c r="B18">
        <v>206188</v>
      </c>
      <c r="C18">
        <v>102631708740</v>
      </c>
      <c r="D18">
        <v>86104096190</v>
      </c>
      <c r="E18">
        <v>0.19194900000000001</v>
      </c>
      <c r="F18">
        <v>497757.91384599998</v>
      </c>
      <c r="G18">
        <v>432875.32270600001</v>
      </c>
      <c r="H18">
        <v>67445245279</v>
      </c>
      <c r="I18">
        <v>57709111193</v>
      </c>
      <c r="J18" s="10" t="s">
        <v>114</v>
      </c>
      <c r="K18">
        <v>327105.57980000001</v>
      </c>
      <c r="L18">
        <v>290123.8296</v>
      </c>
    </row>
    <row r="19" spans="1:12" x14ac:dyDescent="0.25">
      <c r="A19" s="10" t="s">
        <v>115</v>
      </c>
      <c r="B19">
        <v>47</v>
      </c>
      <c r="C19">
        <v>42002330</v>
      </c>
      <c r="D19">
        <v>42372240</v>
      </c>
      <c r="E19">
        <v>-8.7299999999999999E-3</v>
      </c>
      <c r="F19">
        <v>893666.59574500006</v>
      </c>
      <c r="G19">
        <v>901537.02127699996</v>
      </c>
      <c r="H19">
        <v>31301188</v>
      </c>
      <c r="I19">
        <v>28449438</v>
      </c>
      <c r="J19" s="10" t="s">
        <v>116</v>
      </c>
      <c r="K19">
        <v>665982.72340000002</v>
      </c>
      <c r="L19">
        <v>605307.19149999996</v>
      </c>
    </row>
    <row r="20" spans="1:12" x14ac:dyDescent="0.25">
      <c r="A20" s="10" t="s">
        <v>117</v>
      </c>
      <c r="B20">
        <v>300</v>
      </c>
      <c r="C20">
        <v>185213370</v>
      </c>
      <c r="D20">
        <v>170657720</v>
      </c>
      <c r="E20">
        <v>8.5291000000000006E-2</v>
      </c>
      <c r="F20">
        <v>617377.9</v>
      </c>
      <c r="G20">
        <v>582449.55631400004</v>
      </c>
      <c r="H20">
        <v>146023838</v>
      </c>
      <c r="I20">
        <v>130221403</v>
      </c>
      <c r="J20" s="10" t="s">
        <v>118</v>
      </c>
      <c r="K20">
        <v>486746.12670000002</v>
      </c>
      <c r="L20">
        <v>444441.64850000001</v>
      </c>
    </row>
    <row r="21" spans="1:12" x14ac:dyDescent="0.25">
      <c r="A21" s="10" t="s">
        <v>119</v>
      </c>
      <c r="B21">
        <v>16244</v>
      </c>
      <c r="C21">
        <v>5770574940</v>
      </c>
      <c r="D21">
        <v>5169479860</v>
      </c>
      <c r="E21">
        <v>0.11627800000000001</v>
      </c>
      <c r="F21">
        <v>355243.47081999999</v>
      </c>
      <c r="G21">
        <v>336291.95029900002</v>
      </c>
      <c r="H21">
        <v>4726696618</v>
      </c>
      <c r="I21">
        <v>4113849143</v>
      </c>
      <c r="J21" s="10" t="s">
        <v>120</v>
      </c>
      <c r="K21">
        <v>290981.0772</v>
      </c>
      <c r="L21">
        <v>267619.64240000001</v>
      </c>
    </row>
    <row r="22" spans="1:12" x14ac:dyDescent="0.25">
      <c r="A22" s="10" t="s">
        <v>121</v>
      </c>
      <c r="B22">
        <v>18168</v>
      </c>
      <c r="C22">
        <v>6222505750</v>
      </c>
      <c r="D22">
        <v>5526779630</v>
      </c>
      <c r="E22">
        <v>0.12588299999999999</v>
      </c>
      <c r="F22">
        <v>342498.11481699999</v>
      </c>
      <c r="G22">
        <v>324284.435252</v>
      </c>
      <c r="H22">
        <v>3991959257</v>
      </c>
      <c r="I22">
        <v>3375013094</v>
      </c>
      <c r="J22" s="10" t="s">
        <v>122</v>
      </c>
      <c r="K22">
        <v>219724.7499</v>
      </c>
      <c r="L22">
        <v>198029.2844</v>
      </c>
    </row>
    <row r="23" spans="1:12" x14ac:dyDescent="0.25">
      <c r="A23" s="10" t="s">
        <v>123</v>
      </c>
      <c r="B23">
        <v>11071</v>
      </c>
      <c r="C23">
        <v>3371194400</v>
      </c>
      <c r="D23">
        <v>2930219100</v>
      </c>
      <c r="E23">
        <v>0.15049199999999999</v>
      </c>
      <c r="F23">
        <v>304506.76542299998</v>
      </c>
      <c r="G23">
        <v>273749.91591899999</v>
      </c>
      <c r="H23">
        <v>2700843530</v>
      </c>
      <c r="I23">
        <v>2379086174</v>
      </c>
      <c r="J23" s="10" t="s">
        <v>124</v>
      </c>
      <c r="K23">
        <v>243956.601</v>
      </c>
      <c r="L23">
        <v>222261.41390000001</v>
      </c>
    </row>
    <row r="24" spans="1:12" x14ac:dyDescent="0.25">
      <c r="A24" s="10" t="s">
        <v>125</v>
      </c>
      <c r="B24">
        <v>19139</v>
      </c>
      <c r="C24">
        <v>6129031560</v>
      </c>
      <c r="D24">
        <v>5324067040</v>
      </c>
      <c r="E24">
        <v>0.151194</v>
      </c>
      <c r="F24">
        <v>320237.815978</v>
      </c>
      <c r="G24">
        <v>288896.14412100002</v>
      </c>
      <c r="H24">
        <v>3853287006</v>
      </c>
      <c r="I24">
        <v>3264642457</v>
      </c>
      <c r="J24" s="10" t="s">
        <v>126</v>
      </c>
      <c r="K24">
        <v>201331.67910000001</v>
      </c>
      <c r="L24">
        <v>177147.0214</v>
      </c>
    </row>
    <row r="25" spans="1:12" x14ac:dyDescent="0.25">
      <c r="A25" s="10" t="s">
        <v>127</v>
      </c>
      <c r="B25">
        <v>7995</v>
      </c>
      <c r="C25">
        <v>3525811470</v>
      </c>
      <c r="D25">
        <v>3063917130</v>
      </c>
      <c r="E25">
        <v>0.150753</v>
      </c>
      <c r="F25">
        <v>441002.060038</v>
      </c>
      <c r="G25">
        <v>396983.302669</v>
      </c>
      <c r="H25">
        <v>2460752675</v>
      </c>
      <c r="I25">
        <v>2156090176</v>
      </c>
      <c r="J25" s="10" t="s">
        <v>128</v>
      </c>
      <c r="K25">
        <v>307786.4509</v>
      </c>
      <c r="L25">
        <v>279358.66489999997</v>
      </c>
    </row>
    <row r="26" spans="1:12" x14ac:dyDescent="0.25">
      <c r="A26" s="10" t="s">
        <v>129</v>
      </c>
      <c r="B26">
        <v>46</v>
      </c>
      <c r="C26">
        <v>5512460</v>
      </c>
      <c r="D26">
        <v>4310000</v>
      </c>
      <c r="E26">
        <v>0.27899299999999999</v>
      </c>
      <c r="F26">
        <v>119836.08695700001</v>
      </c>
      <c r="G26">
        <v>123142.857143</v>
      </c>
      <c r="H26">
        <v>3059057</v>
      </c>
      <c r="I26">
        <v>2516791</v>
      </c>
      <c r="J26" s="10" t="s">
        <v>130</v>
      </c>
      <c r="K26">
        <v>66501.239100000006</v>
      </c>
      <c r="L26">
        <v>71908.314299999998</v>
      </c>
    </row>
    <row r="27" spans="1:12" x14ac:dyDescent="0.25">
      <c r="A27" s="10" t="s">
        <v>131</v>
      </c>
      <c r="B27">
        <v>59603</v>
      </c>
      <c r="C27">
        <v>19197755810</v>
      </c>
      <c r="D27">
        <v>16860487850</v>
      </c>
      <c r="E27">
        <v>0.138624</v>
      </c>
      <c r="F27">
        <v>322093.78403799998</v>
      </c>
      <c r="G27">
        <v>291119.68799599999</v>
      </c>
      <c r="H27">
        <v>15056717755</v>
      </c>
      <c r="I27">
        <v>13220486281</v>
      </c>
      <c r="J27" s="10" t="s">
        <v>132</v>
      </c>
      <c r="K27">
        <v>252616.7769</v>
      </c>
      <c r="L27">
        <v>228270.0166</v>
      </c>
    </row>
    <row r="28" spans="1:12" x14ac:dyDescent="0.25">
      <c r="A28" s="10" t="s">
        <v>133</v>
      </c>
      <c r="B28">
        <v>79336</v>
      </c>
      <c r="C28">
        <v>27950503260</v>
      </c>
      <c r="D28">
        <v>24583270280</v>
      </c>
      <c r="E28">
        <v>0.13697300000000001</v>
      </c>
      <c r="F28">
        <v>352305.42578400002</v>
      </c>
      <c r="G28">
        <v>321085.51493499998</v>
      </c>
      <c r="H28">
        <v>19304556656</v>
      </c>
      <c r="I28">
        <v>16459591437</v>
      </c>
      <c r="J28" s="10" t="s">
        <v>134</v>
      </c>
      <c r="K28">
        <v>243326.5687</v>
      </c>
      <c r="L28">
        <v>214981.0148</v>
      </c>
    </row>
    <row r="29" spans="1:12" x14ac:dyDescent="0.25">
      <c r="A29" s="10" t="s">
        <v>135</v>
      </c>
      <c r="B29">
        <v>3058</v>
      </c>
      <c r="C29">
        <v>974766190</v>
      </c>
      <c r="D29">
        <v>879398490</v>
      </c>
      <c r="E29">
        <v>0.108447</v>
      </c>
      <c r="F29">
        <v>318759.381949</v>
      </c>
      <c r="G29">
        <v>305134.79875100002</v>
      </c>
      <c r="H29">
        <v>837399237</v>
      </c>
      <c r="I29">
        <v>738122861</v>
      </c>
      <c r="J29" s="10" t="s">
        <v>136</v>
      </c>
      <c r="K29">
        <v>273838.86099999998</v>
      </c>
      <c r="L29">
        <v>256114.8026</v>
      </c>
    </row>
    <row r="30" spans="1:12" x14ac:dyDescent="0.25">
      <c r="A30" s="10" t="s">
        <v>137</v>
      </c>
      <c r="B30">
        <v>28328</v>
      </c>
      <c r="C30">
        <v>8391709880</v>
      </c>
      <c r="D30">
        <v>7619623380</v>
      </c>
      <c r="E30">
        <v>0.101329</v>
      </c>
      <c r="F30">
        <v>296233.75741299998</v>
      </c>
      <c r="G30">
        <v>279107.08351600001</v>
      </c>
      <c r="H30">
        <v>6292445416</v>
      </c>
      <c r="I30">
        <v>5692746835</v>
      </c>
      <c r="J30" s="10" t="s">
        <v>138</v>
      </c>
      <c r="K30">
        <v>222128.12119999999</v>
      </c>
      <c r="L30">
        <v>208525.5251</v>
      </c>
    </row>
    <row r="31" spans="1:12" x14ac:dyDescent="0.25">
      <c r="A31" s="10" t="s">
        <v>139</v>
      </c>
      <c r="B31">
        <v>28121</v>
      </c>
      <c r="C31">
        <v>8164418130</v>
      </c>
      <c r="D31">
        <v>7440018750</v>
      </c>
      <c r="E31">
        <v>9.7364999999999993E-2</v>
      </c>
      <c r="F31">
        <v>290331.71402199997</v>
      </c>
      <c r="G31">
        <v>274468.54133600002</v>
      </c>
      <c r="H31">
        <v>5398753110</v>
      </c>
      <c r="I31">
        <v>4666980628</v>
      </c>
      <c r="J31" s="10" t="s">
        <v>140</v>
      </c>
      <c r="K31">
        <v>191982.97039999999</v>
      </c>
      <c r="L31">
        <v>172168.8357</v>
      </c>
    </row>
    <row r="32" spans="1:12" x14ac:dyDescent="0.25">
      <c r="A32" s="10" t="s">
        <v>141</v>
      </c>
      <c r="B32">
        <v>2815</v>
      </c>
      <c r="C32">
        <v>12008019560</v>
      </c>
      <c r="D32">
        <v>10245753000</v>
      </c>
      <c r="E32">
        <v>0.17199999999999999</v>
      </c>
      <c r="F32">
        <v>4265726.3090589996</v>
      </c>
      <c r="G32">
        <v>3672312.9032259998</v>
      </c>
      <c r="H32">
        <v>8139480972</v>
      </c>
      <c r="I32">
        <v>7224140306</v>
      </c>
      <c r="J32" s="10" t="s">
        <v>142</v>
      </c>
      <c r="K32">
        <v>2891467.4855999998</v>
      </c>
      <c r="L32">
        <v>2589297.6006999998</v>
      </c>
    </row>
    <row r="33" spans="1:12" x14ac:dyDescent="0.25">
      <c r="A33" s="10" t="s">
        <v>143</v>
      </c>
      <c r="B33">
        <v>8331</v>
      </c>
      <c r="C33">
        <v>27623925380</v>
      </c>
      <c r="D33">
        <v>23898282720</v>
      </c>
      <c r="E33">
        <v>0.15589600000000001</v>
      </c>
      <c r="F33">
        <v>3315799.469451</v>
      </c>
      <c r="G33">
        <v>2887312.1565780002</v>
      </c>
      <c r="H33">
        <v>18341231234</v>
      </c>
      <c r="I33">
        <v>16317940316</v>
      </c>
      <c r="J33" s="10" t="s">
        <v>144</v>
      </c>
      <c r="K33">
        <v>2201564.1861</v>
      </c>
      <c r="L33">
        <v>1971480.0430000001</v>
      </c>
    </row>
    <row r="34" spans="1:12" x14ac:dyDescent="0.25">
      <c r="A34" s="10" t="s">
        <v>145</v>
      </c>
      <c r="B34">
        <v>1145</v>
      </c>
      <c r="C34">
        <v>285844530</v>
      </c>
      <c r="D34">
        <v>239267950</v>
      </c>
      <c r="E34">
        <v>0.194663</v>
      </c>
      <c r="F34">
        <v>249645.877729</v>
      </c>
      <c r="G34">
        <v>235731.970443</v>
      </c>
      <c r="H34">
        <v>219148458</v>
      </c>
      <c r="I34">
        <v>178172635</v>
      </c>
      <c r="J34" s="10" t="s">
        <v>146</v>
      </c>
      <c r="K34">
        <v>191396.03320000001</v>
      </c>
      <c r="L34">
        <v>175539.54190000001</v>
      </c>
    </row>
    <row r="35" spans="1:12" x14ac:dyDescent="0.25">
      <c r="A35" s="10" t="s">
        <v>147</v>
      </c>
      <c r="B35">
        <v>38385</v>
      </c>
      <c r="C35">
        <v>16401777990</v>
      </c>
      <c r="D35">
        <v>14186584100</v>
      </c>
      <c r="E35">
        <v>0.15614700000000001</v>
      </c>
      <c r="F35">
        <v>427296.54787000001</v>
      </c>
      <c r="G35">
        <v>381708.661142</v>
      </c>
      <c r="H35">
        <v>11781407612</v>
      </c>
      <c r="I35">
        <v>10423057155</v>
      </c>
      <c r="J35" s="10" t="s">
        <v>148</v>
      </c>
      <c r="K35">
        <v>306927.38339999999</v>
      </c>
      <c r="L35">
        <v>280446.03009999997</v>
      </c>
    </row>
    <row r="36" spans="1:12" x14ac:dyDescent="0.25">
      <c r="A36" s="10" t="s">
        <v>149</v>
      </c>
      <c r="B36">
        <v>4069</v>
      </c>
      <c r="C36">
        <v>2187836140</v>
      </c>
      <c r="D36">
        <v>1890229950</v>
      </c>
      <c r="E36">
        <v>0.157444</v>
      </c>
      <c r="F36">
        <v>537683.98623699998</v>
      </c>
      <c r="G36">
        <v>484923.02462799998</v>
      </c>
      <c r="H36">
        <v>1665771861</v>
      </c>
      <c r="I36">
        <v>1461881166</v>
      </c>
      <c r="J36" s="10" t="s">
        <v>150</v>
      </c>
      <c r="K36">
        <v>409381.14059999998</v>
      </c>
      <c r="L36">
        <v>375033.6496</v>
      </c>
    </row>
    <row r="37" spans="1:12" x14ac:dyDescent="0.25">
      <c r="A37" s="10" t="s">
        <v>151</v>
      </c>
      <c r="B37">
        <v>29693</v>
      </c>
      <c r="C37">
        <v>10271273210</v>
      </c>
      <c r="D37">
        <v>8752557900</v>
      </c>
      <c r="E37">
        <v>0.173517</v>
      </c>
      <c r="F37">
        <v>345915.64375400002</v>
      </c>
      <c r="G37">
        <v>304956.54855200002</v>
      </c>
      <c r="H37">
        <v>6898147737</v>
      </c>
      <c r="I37">
        <v>5869272472</v>
      </c>
      <c r="J37" s="10" t="s">
        <v>152</v>
      </c>
      <c r="K37">
        <v>232315.62109999999</v>
      </c>
      <c r="L37">
        <v>204497.14199999999</v>
      </c>
    </row>
    <row r="38" spans="1:12" x14ac:dyDescent="0.25">
      <c r="A38" s="10" t="s">
        <v>153</v>
      </c>
      <c r="B38">
        <v>11788</v>
      </c>
      <c r="C38">
        <v>3281478520</v>
      </c>
      <c r="D38">
        <v>2988842260</v>
      </c>
      <c r="E38">
        <v>9.7909999999999997E-2</v>
      </c>
      <c r="F38">
        <v>278374.49270399997</v>
      </c>
      <c r="G38">
        <v>267865.411364</v>
      </c>
      <c r="H38">
        <v>2685933448</v>
      </c>
      <c r="I38">
        <v>2362335502</v>
      </c>
      <c r="J38" s="10" t="s">
        <v>154</v>
      </c>
      <c r="K38">
        <v>227853.19380000001</v>
      </c>
      <c r="L38">
        <v>211716.75049999999</v>
      </c>
    </row>
    <row r="39" spans="1:12" x14ac:dyDescent="0.25">
      <c r="A39" s="10" t="s">
        <v>155</v>
      </c>
      <c r="B39">
        <v>12292</v>
      </c>
      <c r="C39">
        <v>3505317320</v>
      </c>
      <c r="D39">
        <v>3182949700</v>
      </c>
      <c r="E39">
        <v>0.10128</v>
      </c>
      <c r="F39">
        <v>285170.62479700003</v>
      </c>
      <c r="G39">
        <v>273872.80158299999</v>
      </c>
      <c r="H39">
        <v>2204862116</v>
      </c>
      <c r="I39">
        <v>1914961775</v>
      </c>
      <c r="J39" s="10" t="s">
        <v>156</v>
      </c>
      <c r="K39">
        <v>179373.74849999999</v>
      </c>
      <c r="L39">
        <v>164770.416</v>
      </c>
    </row>
    <row r="40" spans="1:12" x14ac:dyDescent="0.25">
      <c r="A40" s="10" t="s">
        <v>157</v>
      </c>
      <c r="B40">
        <v>803</v>
      </c>
      <c r="C40">
        <v>251389550</v>
      </c>
      <c r="D40">
        <v>227895710</v>
      </c>
      <c r="E40">
        <v>0.10309</v>
      </c>
      <c r="F40">
        <v>313062.95143199997</v>
      </c>
      <c r="G40">
        <v>298292.814136</v>
      </c>
      <c r="H40">
        <v>228798127</v>
      </c>
      <c r="I40">
        <v>206508968</v>
      </c>
      <c r="J40" s="10" t="s">
        <v>158</v>
      </c>
      <c r="K40">
        <v>284929.17430000001</v>
      </c>
      <c r="L40">
        <v>270299.69630000001</v>
      </c>
    </row>
    <row r="41" spans="1:12" x14ac:dyDescent="0.25">
      <c r="A41" s="10" t="s">
        <v>159</v>
      </c>
      <c r="B41">
        <v>37541</v>
      </c>
      <c r="C41">
        <v>10515775070</v>
      </c>
      <c r="D41">
        <v>8964699410</v>
      </c>
      <c r="E41">
        <v>0.17302000000000001</v>
      </c>
      <c r="F41">
        <v>280114.41011200001</v>
      </c>
      <c r="G41">
        <v>248130.29449999999</v>
      </c>
      <c r="H41">
        <v>8822231861</v>
      </c>
      <c r="I41">
        <v>7582403288</v>
      </c>
      <c r="J41" s="10" t="s">
        <v>160</v>
      </c>
      <c r="K41">
        <v>235002.58009999999</v>
      </c>
      <c r="L41">
        <v>209870.27840000001</v>
      </c>
    </row>
    <row r="42" spans="1:12" x14ac:dyDescent="0.25">
      <c r="A42" s="10" t="s">
        <v>161</v>
      </c>
      <c r="B42">
        <v>43619</v>
      </c>
      <c r="C42">
        <v>12109407640</v>
      </c>
      <c r="D42">
        <v>10339577500</v>
      </c>
      <c r="E42">
        <v>0.17116999999999999</v>
      </c>
      <c r="F42">
        <v>277617.72713700001</v>
      </c>
      <c r="G42">
        <v>247033.26962100001</v>
      </c>
      <c r="H42">
        <v>8031196709</v>
      </c>
      <c r="I42">
        <v>6697842133</v>
      </c>
      <c r="J42" s="10" t="s">
        <v>162</v>
      </c>
      <c r="K42">
        <v>184121.52290000001</v>
      </c>
      <c r="L42">
        <v>160024.89869999999</v>
      </c>
    </row>
    <row r="43" spans="1:12" x14ac:dyDescent="0.25">
      <c r="A43" s="10" t="s">
        <v>163</v>
      </c>
      <c r="B43">
        <v>2104</v>
      </c>
      <c r="C43">
        <v>689133980</v>
      </c>
      <c r="D43">
        <v>524028440</v>
      </c>
      <c r="E43">
        <v>0.31507000000000002</v>
      </c>
      <c r="F43">
        <v>327535.16159700003</v>
      </c>
      <c r="G43">
        <v>290803.795782</v>
      </c>
      <c r="H43">
        <v>0</v>
      </c>
      <c r="I43">
        <v>0</v>
      </c>
      <c r="J43" s="10" t="s">
        <v>164</v>
      </c>
      <c r="K43">
        <v>0</v>
      </c>
      <c r="L43">
        <v>0</v>
      </c>
    </row>
    <row r="44" spans="1:12" x14ac:dyDescent="0.25">
      <c r="A44" s="10" t="s">
        <v>165</v>
      </c>
      <c r="B44">
        <v>838</v>
      </c>
      <c r="C44">
        <v>585703120</v>
      </c>
      <c r="D44">
        <v>531256160</v>
      </c>
      <c r="E44">
        <v>0.10248699999999999</v>
      </c>
      <c r="F44">
        <v>698929.73747000005</v>
      </c>
      <c r="G44">
        <v>637762.49699899997</v>
      </c>
      <c r="H44">
        <v>519675283</v>
      </c>
      <c r="I44">
        <v>470145911</v>
      </c>
      <c r="J44" s="10" t="s">
        <v>138</v>
      </c>
      <c r="K44">
        <v>620137.56920000003</v>
      </c>
      <c r="L44">
        <v>564400.85349999997</v>
      </c>
    </row>
    <row r="45" spans="1:12" x14ac:dyDescent="0.25">
      <c r="A45" s="10" t="s">
        <v>166</v>
      </c>
      <c r="B45">
        <v>134</v>
      </c>
      <c r="C45">
        <v>58923110</v>
      </c>
      <c r="D45">
        <v>51493550</v>
      </c>
      <c r="E45">
        <v>0.14428099999999999</v>
      </c>
      <c r="F45">
        <v>439724.70149299997</v>
      </c>
      <c r="G45">
        <v>399174.80620200001</v>
      </c>
      <c r="H45">
        <v>45264749</v>
      </c>
      <c r="I45">
        <v>40573329</v>
      </c>
      <c r="J45" s="10" t="s">
        <v>167</v>
      </c>
      <c r="K45">
        <v>337796.63429999998</v>
      </c>
      <c r="L45">
        <v>314521.9302</v>
      </c>
    </row>
    <row r="46" spans="1:12" x14ac:dyDescent="0.25">
      <c r="A46" s="10" t="s">
        <v>168</v>
      </c>
      <c r="B46">
        <v>544632</v>
      </c>
      <c r="C46">
        <v>257186740060</v>
      </c>
      <c r="D46">
        <v>221181772940</v>
      </c>
      <c r="E46">
        <v>0.16278500000000001</v>
      </c>
      <c r="F46">
        <v>472221.132912</v>
      </c>
      <c r="G46">
        <v>421151.81363400002</v>
      </c>
      <c r="H46">
        <v>176685954999</v>
      </c>
      <c r="I46">
        <v>154227044519</v>
      </c>
      <c r="J46" s="10" t="s">
        <v>105</v>
      </c>
      <c r="K46">
        <v>324413.46629999997</v>
      </c>
      <c r="L46">
        <v>293663.43640000001</v>
      </c>
    </row>
    <row r="47" spans="1:12" x14ac:dyDescent="0.25">
      <c r="A47" s="10" t="s">
        <v>169</v>
      </c>
      <c r="B47">
        <v>19422</v>
      </c>
      <c r="C47">
        <v>8776497550</v>
      </c>
      <c r="D47">
        <v>7537579820</v>
      </c>
      <c r="E47">
        <v>0.16436500000000001</v>
      </c>
      <c r="F47">
        <v>451884.334775</v>
      </c>
      <c r="G47">
        <v>401041.75685000001</v>
      </c>
      <c r="H47">
        <v>7069568647</v>
      </c>
      <c r="I47">
        <v>6162468813</v>
      </c>
      <c r="J47" s="10" t="s">
        <v>170</v>
      </c>
      <c r="K47">
        <v>363997.97379999998</v>
      </c>
      <c r="L47">
        <v>327878.09590000001</v>
      </c>
    </row>
    <row r="48" spans="1:12" x14ac:dyDescent="0.25">
      <c r="A48" s="10" t="s">
        <v>171</v>
      </c>
      <c r="B48">
        <v>46722</v>
      </c>
      <c r="C48">
        <v>25711145790</v>
      </c>
      <c r="D48">
        <v>22324964850</v>
      </c>
      <c r="E48">
        <v>0.15167700000000001</v>
      </c>
      <c r="F48">
        <v>550300.62475900003</v>
      </c>
      <c r="G48">
        <v>491869.32338900003</v>
      </c>
      <c r="H48">
        <v>17276827900</v>
      </c>
      <c r="I48">
        <v>14903958748</v>
      </c>
      <c r="J48" s="10" t="s">
        <v>172</v>
      </c>
      <c r="K48">
        <v>369779.28810000001</v>
      </c>
      <c r="L48">
        <v>328367.82290000003</v>
      </c>
    </row>
    <row r="49" spans="1:12" x14ac:dyDescent="0.25">
      <c r="A49" s="10" t="s">
        <v>173</v>
      </c>
      <c r="B49">
        <v>17809</v>
      </c>
      <c r="C49">
        <v>7246448200</v>
      </c>
      <c r="D49">
        <v>6452934830</v>
      </c>
      <c r="E49">
        <v>0.12296899999999999</v>
      </c>
      <c r="F49">
        <v>406898.09646799997</v>
      </c>
      <c r="G49">
        <v>377784.37035300001</v>
      </c>
      <c r="H49">
        <v>6264801358</v>
      </c>
      <c r="I49">
        <v>5458868279</v>
      </c>
      <c r="J49" s="10" t="s">
        <v>174</v>
      </c>
      <c r="K49">
        <v>351777.26760000002</v>
      </c>
      <c r="L49">
        <v>319587.15990000003</v>
      </c>
    </row>
    <row r="50" spans="1:12" x14ac:dyDescent="0.25">
      <c r="A50" s="10" t="s">
        <v>175</v>
      </c>
      <c r="B50">
        <v>5591</v>
      </c>
      <c r="C50">
        <v>2613821380</v>
      </c>
      <c r="D50">
        <v>2367069210</v>
      </c>
      <c r="E50">
        <v>0.104244</v>
      </c>
      <c r="F50">
        <v>467505.16544399998</v>
      </c>
      <c r="G50">
        <v>440384.96930200001</v>
      </c>
      <c r="H50">
        <v>2220142505</v>
      </c>
      <c r="I50">
        <v>1954564413</v>
      </c>
      <c r="J50" s="10" t="s">
        <v>176</v>
      </c>
      <c r="K50">
        <v>397092.20260000002</v>
      </c>
      <c r="L50">
        <v>363639.89079999999</v>
      </c>
    </row>
    <row r="51" spans="1:12" x14ac:dyDescent="0.25">
      <c r="A51" s="10" t="s">
        <v>177</v>
      </c>
      <c r="B51">
        <v>4767</v>
      </c>
      <c r="C51">
        <v>1320523280</v>
      </c>
      <c r="D51">
        <v>1097211520</v>
      </c>
      <c r="E51">
        <v>0.20352700000000001</v>
      </c>
      <c r="F51">
        <v>277013.48437199998</v>
      </c>
      <c r="G51">
        <v>242584.90382499999</v>
      </c>
      <c r="H51">
        <v>1022509883</v>
      </c>
      <c r="I51">
        <v>881556933</v>
      </c>
      <c r="J51" s="10" t="s">
        <v>178</v>
      </c>
      <c r="K51">
        <v>214497.56299999999</v>
      </c>
      <c r="L51">
        <v>194905.35769999999</v>
      </c>
    </row>
    <row r="52" spans="1:12" x14ac:dyDescent="0.25">
      <c r="A52" s="10" t="s">
        <v>179</v>
      </c>
      <c r="B52">
        <v>2748</v>
      </c>
      <c r="C52">
        <v>1794149120</v>
      </c>
      <c r="D52">
        <v>1621372790</v>
      </c>
      <c r="E52">
        <v>0.106562</v>
      </c>
      <c r="F52">
        <v>652892.69286800001</v>
      </c>
      <c r="G52">
        <v>629414.90295000002</v>
      </c>
      <c r="H52">
        <v>1275392793</v>
      </c>
      <c r="I52">
        <v>1122223454</v>
      </c>
      <c r="J52" s="10" t="s">
        <v>180</v>
      </c>
      <c r="K52">
        <v>464116.73690000002</v>
      </c>
      <c r="L52">
        <v>435645.75079999998</v>
      </c>
    </row>
    <row r="53" spans="1:12" x14ac:dyDescent="0.25">
      <c r="A53" s="10" t="s">
        <v>181</v>
      </c>
      <c r="B53">
        <v>2748</v>
      </c>
      <c r="C53">
        <v>1794149120</v>
      </c>
      <c r="D53">
        <v>1621372790</v>
      </c>
      <c r="E53">
        <v>0.106562</v>
      </c>
      <c r="F53">
        <v>652892.69286800001</v>
      </c>
      <c r="G53">
        <v>629414.90295000002</v>
      </c>
      <c r="H53">
        <v>1357313034</v>
      </c>
      <c r="I53">
        <v>1171663983</v>
      </c>
      <c r="J53" s="10" t="s">
        <v>182</v>
      </c>
      <c r="K53">
        <v>493927.59610000002</v>
      </c>
      <c r="L53">
        <v>454838.50270000001</v>
      </c>
    </row>
    <row r="54" spans="1:12" x14ac:dyDescent="0.25">
      <c r="A54" s="10" t="s">
        <v>183</v>
      </c>
      <c r="B54">
        <v>535876</v>
      </c>
      <c r="C54">
        <v>252022713870</v>
      </c>
      <c r="D54">
        <v>216709109540</v>
      </c>
      <c r="E54">
        <v>0.16295399999999999</v>
      </c>
      <c r="F54">
        <v>470300.431201</v>
      </c>
      <c r="G54">
        <v>419220.88460200001</v>
      </c>
      <c r="H54">
        <v>0</v>
      </c>
      <c r="I54">
        <v>0</v>
      </c>
      <c r="J54" s="10" t="s">
        <v>164</v>
      </c>
      <c r="K54">
        <v>0</v>
      </c>
      <c r="L54">
        <v>0</v>
      </c>
    </row>
    <row r="55" spans="1:12" x14ac:dyDescent="0.25">
      <c r="A55" s="10" t="s">
        <v>184</v>
      </c>
      <c r="B55">
        <v>5365</v>
      </c>
      <c r="C55">
        <v>15139456000</v>
      </c>
      <c r="D55">
        <v>13161326210</v>
      </c>
      <c r="E55">
        <v>0.15029899999999999</v>
      </c>
      <c r="F55">
        <v>2821893.0102519998</v>
      </c>
      <c r="G55">
        <v>2465129.464319</v>
      </c>
      <c r="H55">
        <v>9611743043</v>
      </c>
      <c r="I55">
        <v>8729426951</v>
      </c>
      <c r="J55" s="10" t="s">
        <v>185</v>
      </c>
      <c r="K55">
        <v>1791564.4069000001</v>
      </c>
      <c r="L55">
        <v>1635030.3336</v>
      </c>
    </row>
    <row r="56" spans="1:12" x14ac:dyDescent="0.25">
      <c r="A56" s="10" t="s">
        <v>186</v>
      </c>
      <c r="B56">
        <v>684</v>
      </c>
      <c r="C56">
        <v>494465050</v>
      </c>
      <c r="D56">
        <v>443748450</v>
      </c>
      <c r="E56">
        <v>0.114291</v>
      </c>
      <c r="F56">
        <v>722902.11988300004</v>
      </c>
      <c r="G56">
        <v>659358.76671600004</v>
      </c>
      <c r="H56">
        <v>461334524</v>
      </c>
      <c r="I56">
        <v>416194919</v>
      </c>
      <c r="J56" s="10" t="s">
        <v>187</v>
      </c>
      <c r="K56">
        <v>674465.67839999998</v>
      </c>
      <c r="L56">
        <v>618417.41310000001</v>
      </c>
    </row>
    <row r="57" spans="1:12" x14ac:dyDescent="0.25">
      <c r="A57" s="10" t="s">
        <v>188</v>
      </c>
      <c r="B57">
        <v>1024</v>
      </c>
      <c r="C57">
        <v>232385910</v>
      </c>
      <c r="D57">
        <v>189716200</v>
      </c>
      <c r="E57">
        <v>0.224913</v>
      </c>
      <c r="F57">
        <v>226939.365234</v>
      </c>
      <c r="G57">
        <v>193983.84458100001</v>
      </c>
      <c r="H57">
        <v>169266473</v>
      </c>
      <c r="I57">
        <v>147838080</v>
      </c>
      <c r="J57" s="10" t="s">
        <v>189</v>
      </c>
      <c r="K57">
        <v>165299.29</v>
      </c>
      <c r="L57">
        <v>151163.68100000001</v>
      </c>
    </row>
    <row r="58" spans="1:12" x14ac:dyDescent="0.25">
      <c r="A58" s="10" t="s">
        <v>190</v>
      </c>
      <c r="B58">
        <v>359</v>
      </c>
      <c r="C58">
        <v>226242840</v>
      </c>
      <c r="D58">
        <v>185787910</v>
      </c>
      <c r="E58">
        <v>0.217748</v>
      </c>
      <c r="F58">
        <v>630202.89693599998</v>
      </c>
      <c r="G58">
        <v>580587.21875</v>
      </c>
      <c r="H58">
        <v>203595642</v>
      </c>
      <c r="I58">
        <v>164417541</v>
      </c>
      <c r="J58" s="10" t="s">
        <v>191</v>
      </c>
      <c r="K58">
        <v>567118.77989999996</v>
      </c>
      <c r="L58">
        <v>513804.81559999997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"/>
  <sheetViews>
    <sheetView workbookViewId="0">
      <selection activeCell="B2" sqref="B2"/>
    </sheetView>
  </sheetViews>
  <sheetFormatPr defaultRowHeight="15" x14ac:dyDescent="0.25"/>
  <cols>
    <col min="2" max="2" width="9.7109375" bestFit="1" customWidth="1"/>
  </cols>
  <sheetData>
    <row r="1" spans="1:2" x14ac:dyDescent="0.25">
      <c r="A1" t="s">
        <v>62</v>
      </c>
      <c r="B1" s="7">
        <v>45498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9A077AC-3163-4D2F-9CD3-C71F950D2FC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AVG_SFR</vt:lpstr>
      <vt:lpstr>csv_import</vt:lpstr>
      <vt:lpstr>YEARLY_DATES</vt:lpstr>
      <vt:lpstr>AVG_SFR!Print_Area</vt:lpstr>
      <vt:lpstr>AVG_SFR!Print_Titles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Welles, William</dc:creator>
  <cp:lastModifiedBy>William Welles</cp:lastModifiedBy>
  <cp:lastPrinted>2021-07-19T19:01:40Z</cp:lastPrinted>
  <dcterms:created xsi:type="dcterms:W3CDTF">2021-07-16T21:11:08Z</dcterms:created>
  <dcterms:modified xsi:type="dcterms:W3CDTF">2025-11-20T07:41:11Z</dcterms:modified>
</cp:coreProperties>
</file>